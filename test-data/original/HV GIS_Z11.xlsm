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fileSharing readOnlyRecommended="1"/>
  <workbookPr codeName="ThisWorkbook" defaultThemeVersion="124226"/>
  <mc:AlternateContent xmlns:mc="http://schemas.openxmlformats.org/markup-compatibility/2006">
    <mc:Choice Requires="x15">
      <x15ac:absPath xmlns:x15ac="http://schemas.microsoft.com/office/spreadsheetml/2010/11/ac" url="I:\Data\EE-Projekt\kirso\Mathias test\"/>
    </mc:Choice>
  </mc:AlternateContent>
  <xr:revisionPtr revIDLastSave="0" documentId="13_ncr:1_{10524C1C-F46A-4BE2-AEAF-04BEEEFC6F21}" xr6:coauthVersionLast="36" xr6:coauthVersionMax="36" xr10:uidLastSave="{00000000-0000-0000-0000-000000000000}"/>
  <bookViews>
    <workbookView xWindow="120" yWindow="0" windowWidth="27750" windowHeight="7245" xr2:uid="{00000000-000D-0000-FFFF-FFFF00000000}"/>
  </bookViews>
  <sheets>
    <sheet name="Drawing List" sheetId="3" r:id="rId1"/>
    <sheet name="Sheet1" sheetId="6" r:id="rId2"/>
    <sheet name="Order" sheetId="4" r:id="rId3"/>
    <sheet name="Picklists" sheetId="5" r:id="rId4"/>
    <sheet name="Sheet2" sheetId="7" r:id="rId5"/>
  </sheets>
  <functionGroups builtInGroupCount="19"/>
  <definedNames>
    <definedName name="_xlnm._FilterDatabase" localSheetId="0" hidden="1">'Drawing List'!$A$14:$AQ$20</definedName>
    <definedName name="_xlnm._FilterDatabase" localSheetId="2" hidden="1">Order!$A$2:$E$36</definedName>
    <definedName name="AllowUseReservation">Picklists!$K$3:$K$5</definedName>
    <definedName name="DocStatus">Picklists!$E$3:$E$5</definedName>
    <definedName name="FieldHeader">Order!$A$2</definedName>
    <definedName name="Filetype">Picklists!$I$3:$I$53</definedName>
    <definedName name="LocType">Picklists!$C$3:$C$4</definedName>
    <definedName name="O_M">Picklists!$M$3:$M$5</definedName>
    <definedName name="Phase">Picklists!$G$3:$G$7</definedName>
    <definedName name="_xlnm.Print_Area" localSheetId="0">'Drawing List'!$D$1:$AC$14</definedName>
    <definedName name="_xlnm.Print_Titles" localSheetId="2">Order!$2:$2</definedName>
    <definedName name="Top_Common">'Drawing List'!$A$1</definedName>
    <definedName name="Top_DwgList">'Drawing List'!$A$12</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589" i="7" l="1"/>
  <c r="G590" i="7"/>
  <c r="G591" i="7"/>
  <c r="G592" i="7"/>
  <c r="G593" i="7"/>
  <c r="G594" i="7"/>
  <c r="G595" i="7"/>
  <c r="G596" i="7"/>
  <c r="G597" i="7"/>
  <c r="G598" i="7"/>
  <c r="G599" i="7"/>
  <c r="G600" i="7"/>
  <c r="G603" i="7"/>
  <c r="G604" i="7"/>
  <c r="G605" i="7"/>
  <c r="G606" i="7"/>
  <c r="G607" i="7"/>
  <c r="G608" i="7"/>
  <c r="G609" i="7"/>
  <c r="G612" i="7"/>
  <c r="G613" i="7"/>
  <c r="G614" i="7"/>
  <c r="G615" i="7"/>
  <c r="G616" i="7"/>
  <c r="G617" i="7"/>
  <c r="G618" i="7"/>
  <c r="G619" i="7"/>
  <c r="G620" i="7"/>
  <c r="G623" i="7"/>
  <c r="G624" i="7"/>
  <c r="G625" i="7"/>
  <c r="G626" i="7"/>
  <c r="G627" i="7"/>
  <c r="G628" i="7"/>
  <c r="G629" i="7"/>
  <c r="B4" i="4" l="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Søren B. Simonsen</author>
  </authors>
  <commentList>
    <comment ref="B12" authorId="0" shapeId="0" xr:uid="{00000000-0006-0000-0000-000001000000}">
      <text>
        <r>
          <rPr>
            <b/>
            <sz val="9"/>
            <color indexed="81"/>
            <rFont val="Tahoma"/>
            <family val="2"/>
          </rPr>
          <t>Søren B. Simonsen:</t>
        </r>
        <r>
          <rPr>
            <sz val="9"/>
            <color indexed="81"/>
            <rFont val="Tahoma"/>
            <family val="2"/>
          </rPr>
          <t xml:space="preserve">
Status can be used in different ways.
Must be blank to be imported!!
Error-codes:
1: DOKUMENTNR is fixed.</t>
        </r>
      </text>
    </comment>
    <comment ref="C12" authorId="0" shapeId="0" xr:uid="{00000000-0006-0000-0000-000002000000}">
      <text>
        <r>
          <rPr>
            <sz val="9"/>
            <color indexed="81"/>
            <rFont val="Tahoma"/>
            <family val="2"/>
          </rPr>
          <t>Name of file that is described in this line</t>
        </r>
      </text>
    </comment>
    <comment ref="F12" authorId="0" shapeId="0" xr:uid="{00000000-0006-0000-0000-000003000000}">
      <text>
        <r>
          <rPr>
            <sz val="9"/>
            <color indexed="81"/>
            <rFont val="Tahoma"/>
            <family val="2"/>
          </rPr>
          <t>Document number. Letters must be capital letters.
For KKS: Must be exactly 17 characters long.
Meaning Block and F0 must be excluded.
                 "_" (underscore) can only be used for code A1 equals character no. 6.
Character no. 12 must be "/".
The syntax is:
FFFFFAAAAAA/NNNNN
12345123456 12345 Code
-----------------
12345678901234567 Place</t>
        </r>
      </text>
    </comment>
    <comment ref="H12" authorId="0" shapeId="0" xr:uid="{00000000-0006-0000-0000-000004000000}">
      <text>
        <r>
          <rPr>
            <sz val="9"/>
            <color indexed="81"/>
            <rFont val="Tahoma"/>
            <family val="2"/>
          </rPr>
          <t>11/8-2014:
Acrobat (pdf)
AutoCAD (dwg)
AutoCAD Building (dwg)
AutoCAD Modelfile_X (dwg)
AutoCAD PID (dwg)
Binder (doc)
BMP (bmp) (bmp)
BowTieXP (btf)
CADDY (cpj)
Caddy_old (pic)
Dassault Systems Universal 3D XML file (3dxml)
Drawing list - contractor (xls)
Drawing list - Phase Wind (xls)
Drawing list - standard (xls)
Drawing list - supplier info (xls)
DXF (dxf)
External approved document list (xls)
Febdok (fdw)
GIF (gif) (gif)
HTML Document (html)
Hybrid AutoCAD (dwg)
JPG (jpg)
List of documents  - Offshore Technology (xls)
Material tests (fys)
Mechanical (dwg)
Microsoft Excel Macro-Enabled Worksheet (xlsm)
Microsoft Excel Worksheet (xlsx)
Microsoft Word Document (docx)
Microsoft Word Macro-Enabled Document (docm)
Microstation (dgn)
Movie AVI (avi)
Movie MPG (mpg)
MPEG4 (mp4)
MS Access  (mdb)
MS Excel (xls)
MS PowerPoint (ppt)
MS Project (mpp)
MS Visio (vsd)
MS Word (doc)
NDT Records (svejsefilm) (fys)
Paper (vir)
PLC (zip)
Scanned (tif)
STEP 3D CAD (stp)
System binder (fys)
Text (txt) (txt)
Tracing paper (kalke) (vir)
Transparent (vir)
Virtual document (vir)
WEB pages (htm)
ZIP (zip)</t>
        </r>
      </text>
    </comment>
    <comment ref="AI12" authorId="0" shapeId="0" xr:uid="{00000000-0006-0000-0000-000005000000}">
      <text>
        <r>
          <rPr>
            <b/>
            <sz val="9"/>
            <color indexed="81"/>
            <rFont val="Tahoma"/>
            <family val="2"/>
          </rPr>
          <t>Søren B. Simonsen:</t>
        </r>
        <r>
          <rPr>
            <sz val="9"/>
            <color indexed="81"/>
            <rFont val="Tahoma"/>
            <family val="2"/>
          </rPr>
          <t xml:space="preserve">
1: Can be consumed
0: Must not be consumed</t>
        </r>
      </text>
    </comment>
    <comment ref="AJ12" authorId="0" shapeId="0" xr:uid="{00000000-0006-0000-0000-000006000000}">
      <text>
        <r>
          <rPr>
            <b/>
            <sz val="9"/>
            <color indexed="81"/>
            <rFont val="Tahoma"/>
            <family val="2"/>
          </rPr>
          <t>Søren B. Simonsen:</t>
        </r>
        <r>
          <rPr>
            <sz val="9"/>
            <color indexed="81"/>
            <rFont val="Tahoma"/>
            <family val="2"/>
          </rPr>
          <t xml:space="preserve">
0: Will not be created as an O&amp;M document while in project phase
1: Will be created as an O&amp;M document already in project phase</t>
        </r>
      </text>
    </comment>
    <comment ref="D14" authorId="0" shapeId="0" xr:uid="{00000000-0006-0000-0000-000007000000}">
      <text>
        <r>
          <rPr>
            <b/>
            <sz val="9"/>
            <color indexed="81"/>
            <rFont val="Tahoma"/>
            <family val="2"/>
          </rPr>
          <t>Søren B. Simonsen:</t>
        </r>
        <r>
          <rPr>
            <sz val="9"/>
            <color indexed="81"/>
            <rFont val="Tahoma"/>
            <family val="2"/>
          </rPr>
          <t xml:space="preserve">
TekDoc: USERT01</t>
        </r>
      </text>
    </comment>
    <comment ref="E14" authorId="0" shapeId="0" xr:uid="{00000000-0006-0000-0000-000008000000}">
      <text>
        <r>
          <rPr>
            <b/>
            <sz val="9"/>
            <color indexed="81"/>
            <rFont val="Tahoma"/>
            <family val="2"/>
          </rPr>
          <t>Søren B. Simonsen:</t>
        </r>
        <r>
          <rPr>
            <sz val="9"/>
            <color indexed="81"/>
            <rFont val="Tahoma"/>
            <family val="2"/>
          </rPr>
          <t xml:space="preserve">
TekDoc: USERT02</t>
        </r>
      </text>
    </comment>
    <comment ref="F14" authorId="0" shapeId="0" xr:uid="{00000000-0006-0000-0000-000009000000}">
      <text>
        <r>
          <rPr>
            <b/>
            <sz val="9"/>
            <color indexed="81"/>
            <rFont val="Tahoma"/>
            <family val="2"/>
          </rPr>
          <t>Søren B. Simonsen:</t>
        </r>
        <r>
          <rPr>
            <sz val="9"/>
            <color indexed="81"/>
            <rFont val="Tahoma"/>
            <family val="2"/>
          </rPr>
          <t xml:space="preserve">
TekDoc: USERT06</t>
        </r>
      </text>
    </comment>
    <comment ref="J14" authorId="0" shapeId="0" xr:uid="{00000000-0006-0000-0000-00000A000000}">
      <text>
        <r>
          <rPr>
            <sz val="9"/>
            <color indexed="81"/>
            <rFont val="Tahoma"/>
            <family val="2"/>
          </rPr>
          <t>USERT47</t>
        </r>
      </text>
    </comment>
    <comment ref="K14" authorId="0" shapeId="0" xr:uid="{00000000-0006-0000-0000-00000B000000}">
      <text>
        <r>
          <rPr>
            <sz val="9"/>
            <color indexed="81"/>
            <rFont val="Tahoma"/>
            <family val="2"/>
          </rPr>
          <t>USERN4</t>
        </r>
      </text>
    </comment>
    <comment ref="AH14" authorId="0" shapeId="0" xr:uid="{00000000-0006-0000-0000-00000C000000}">
      <text>
        <r>
          <rPr>
            <sz val="9"/>
            <color indexed="81"/>
            <rFont val="Tahoma"/>
            <family val="2"/>
          </rPr>
          <t>Different default phases
1) 
2) Preliminary
3) Released for commenting
4) Released for construction
5) Released for commissioning
6) As-Built</t>
        </r>
      </text>
    </comment>
  </commentList>
</comments>
</file>

<file path=xl/sharedStrings.xml><?xml version="1.0" encoding="utf-8"?>
<sst xmlns="http://schemas.openxmlformats.org/spreadsheetml/2006/main" count="3577" uniqueCount="872">
  <si>
    <t>Blok linie</t>
  </si>
  <si>
    <t>a</t>
  </si>
  <si>
    <t>Godkendt</t>
  </si>
  <si>
    <t>Block</t>
  </si>
  <si>
    <t>UK</t>
  </si>
  <si>
    <t>DK</t>
  </si>
  <si>
    <t>Filename</t>
  </si>
  <si>
    <t>Filnavn</t>
  </si>
  <si>
    <t>FILE</t>
  </si>
  <si>
    <t>Location Type</t>
  </si>
  <si>
    <t>Lokation type</t>
  </si>
  <si>
    <t>Lokationtype</t>
  </si>
  <si>
    <t>Location</t>
  </si>
  <si>
    <t>Lokation</t>
  </si>
  <si>
    <t>LOKATION</t>
  </si>
  <si>
    <t>Common parameters</t>
  </si>
  <si>
    <t>F0</t>
  </si>
  <si>
    <t>NRSYS</t>
  </si>
  <si>
    <t>Nummersystem</t>
  </si>
  <si>
    <t>Number System</t>
  </si>
  <si>
    <t>Dokument nummer</t>
  </si>
  <si>
    <t>Document type</t>
  </si>
  <si>
    <t>Dokumenttype</t>
  </si>
  <si>
    <t>DOKUMENTTYPE</t>
  </si>
  <si>
    <t>XML</t>
  </si>
  <si>
    <t>Document Status</t>
  </si>
  <si>
    <t>Dokumentstatus</t>
  </si>
  <si>
    <t>DOKUMENTSTATUS</t>
  </si>
  <si>
    <t>REVISION</t>
  </si>
  <si>
    <t>Paper format</t>
  </si>
  <si>
    <t>Papirformat</t>
  </si>
  <si>
    <t>USERT25</t>
  </si>
  <si>
    <t>Blad antal</t>
  </si>
  <si>
    <t>Sheet numbers</t>
  </si>
  <si>
    <t>Sheet number</t>
  </si>
  <si>
    <t>Blad nummer</t>
  </si>
  <si>
    <t>USERT07</t>
  </si>
  <si>
    <t>USERT16</t>
  </si>
  <si>
    <t>DESCRIPT</t>
  </si>
  <si>
    <t>USERT23</t>
  </si>
  <si>
    <t>USERT19</t>
  </si>
  <si>
    <t>Fremmed Firma</t>
  </si>
  <si>
    <t>Fremmed Tegn. nr.</t>
  </si>
  <si>
    <t>Created by</t>
  </si>
  <si>
    <t>CAD system</t>
  </si>
  <si>
    <t>CREATEDBY</t>
  </si>
  <si>
    <t>Functional Unit</t>
  </si>
  <si>
    <t>Funktionsenhed</t>
  </si>
  <si>
    <t>USERT17</t>
  </si>
  <si>
    <t>REV_SIGN</t>
  </si>
  <si>
    <t>Ændret dato</t>
  </si>
  <si>
    <t>REV_DATE</t>
  </si>
  <si>
    <t>Field</t>
  </si>
  <si>
    <t>Order</t>
  </si>
  <si>
    <t>Common</t>
  </si>
  <si>
    <t>LOKATIONTYPE</t>
  </si>
  <si>
    <t>BLOK</t>
  </si>
  <si>
    <t>IDENTISKANLAEG</t>
  </si>
  <si>
    <t>DOKUMENTNR</t>
  </si>
  <si>
    <t>APPROVED</t>
  </si>
  <si>
    <t>USERT03</t>
  </si>
  <si>
    <t>USERT24</t>
  </si>
  <si>
    <t>CREATEINIT</t>
  </si>
  <si>
    <t>CREATEDATE</t>
  </si>
  <si>
    <t>USERT08</t>
  </si>
  <si>
    <t>APP_BY1</t>
  </si>
  <si>
    <t>APP_DATE1</t>
  </si>
  <si>
    <t>APP_BY</t>
  </si>
  <si>
    <t>APP_DATE</t>
  </si>
  <si>
    <t>DOKUMENTDETALJER</t>
  </si>
  <si>
    <t>Blok</t>
  </si>
  <si>
    <t>Approved</t>
  </si>
  <si>
    <t>Drawing type</t>
  </si>
  <si>
    <t>Tegningstype</t>
  </si>
  <si>
    <t>Oprettet dato</t>
  </si>
  <si>
    <t>Sagsbehandler</t>
  </si>
  <si>
    <t>Approved by</t>
  </si>
  <si>
    <t>Godkendt af</t>
  </si>
  <si>
    <t>Approved date</t>
  </si>
  <si>
    <t>Godkendt dato</t>
  </si>
  <si>
    <t>Extra</t>
  </si>
  <si>
    <t>USERT20</t>
  </si>
  <si>
    <t>Status</t>
  </si>
  <si>
    <t>BLADNUMMER</t>
  </si>
  <si>
    <t>IMPORTREVISION</t>
  </si>
  <si>
    <t>Under revision</t>
  </si>
  <si>
    <t>VAERK</t>
  </si>
  <si>
    <t>RDSPP</t>
  </si>
  <si>
    <t>OFTO</t>
  </si>
  <si>
    <t>USERB8</t>
  </si>
  <si>
    <t>USERT51</t>
  </si>
  <si>
    <t>Phase</t>
  </si>
  <si>
    <t>Fase</t>
  </si>
  <si>
    <t>BLADANTAL</t>
  </si>
  <si>
    <t>USERT09</t>
  </si>
  <si>
    <t>USERT48</t>
  </si>
  <si>
    <t>USERT21</t>
  </si>
  <si>
    <t>USERT11</t>
  </si>
  <si>
    <t>USERT12</t>
  </si>
  <si>
    <t>USERT10</t>
  </si>
  <si>
    <t>USERT13</t>
  </si>
  <si>
    <t>Batch</t>
  </si>
  <si>
    <t>Rev.</t>
  </si>
  <si>
    <t>File type (extension)</t>
  </si>
  <si>
    <t>Drawing text</t>
  </si>
  <si>
    <t>Drawing text 2</t>
  </si>
  <si>
    <t>Drawing text 3</t>
  </si>
  <si>
    <t>Modified by</t>
  </si>
  <si>
    <t>Modified date</t>
  </si>
  <si>
    <t>Created date</t>
  </si>
  <si>
    <t>Filtype (efternavn)</t>
  </si>
  <si>
    <t>Tegningslinie</t>
  </si>
  <si>
    <t>Tegningslinie 2</t>
  </si>
  <si>
    <t>Tegningslinie 3</t>
  </si>
  <si>
    <t>Ændret af</t>
  </si>
  <si>
    <t>Oprettet af</t>
  </si>
  <si>
    <t>Author</t>
  </si>
  <si>
    <t>Checked by</t>
  </si>
  <si>
    <t>Checked date</t>
  </si>
  <si>
    <t>Supplier</t>
  </si>
  <si>
    <t>Supplier doc.no.</t>
  </si>
  <si>
    <t>Import revision?</t>
  </si>
  <si>
    <t>Archive</t>
  </si>
  <si>
    <t>Archive folder</t>
  </si>
  <si>
    <t>Layer</t>
  </si>
  <si>
    <t>Remarks 1</t>
  </si>
  <si>
    <t>Remarks 2</t>
  </si>
  <si>
    <t>Remarks 3</t>
  </si>
  <si>
    <t>Remarks 4</t>
  </si>
  <si>
    <t>Kontrolleret af</t>
  </si>
  <si>
    <t>Kontrolleret dato</t>
  </si>
  <si>
    <t>Importér revision?</t>
  </si>
  <si>
    <t>Arkiv</t>
  </si>
  <si>
    <t>Arkivfolder</t>
  </si>
  <si>
    <t>Lag</t>
  </si>
  <si>
    <t>Bemærkn. 1</t>
  </si>
  <si>
    <t>Bemærkn. 2</t>
  </si>
  <si>
    <t>Bemærkn. 3</t>
  </si>
  <si>
    <t>Bemærkn. 4</t>
  </si>
  <si>
    <t>File origin</t>
  </si>
  <si>
    <t>Filoprindelse</t>
  </si>
  <si>
    <t>Document Number</t>
  </si>
  <si>
    <t>Acrobat (pdf)</t>
  </si>
  <si>
    <t>Microsoft Excel Worksheet (xlsx)</t>
  </si>
  <si>
    <t>Archived</t>
  </si>
  <si>
    <t>As-Built</t>
  </si>
  <si>
    <t>Preliminary</t>
  </si>
  <si>
    <t>Listname</t>
  </si>
  <si>
    <t>DocStatus</t>
  </si>
  <si>
    <t>Filetype</t>
  </si>
  <si>
    <t>External</t>
  </si>
  <si>
    <t>Released for commenting</t>
  </si>
  <si>
    <t>AutoCAD (dwg)</t>
  </si>
  <si>
    <t>Released for construction</t>
  </si>
  <si>
    <t>AutoCAD Building (dwg)</t>
  </si>
  <si>
    <t>Released for commissioning</t>
  </si>
  <si>
    <t>AutoCAD Modelfile_X (dwg)</t>
  </si>
  <si>
    <t>AutoCAD PID (dwg)</t>
  </si>
  <si>
    <t>Binder (doc)</t>
  </si>
  <si>
    <t>BMP (bmp) (bmp)</t>
  </si>
  <si>
    <t>BowTieXP (btf)</t>
  </si>
  <si>
    <t>CADDY (cpj)</t>
  </si>
  <si>
    <t>Caddy_old (pic)</t>
  </si>
  <si>
    <t>Dassault Systems Universal 3D XML file (3dxml)</t>
  </si>
  <si>
    <t>Drawing list - contractor (xls)</t>
  </si>
  <si>
    <t>Drawing list - Phase Wind (xls)</t>
  </si>
  <si>
    <t>Drawing list - standard (xls)</t>
  </si>
  <si>
    <t>Drawing list - supplier info (xls)</t>
  </si>
  <si>
    <t>DXF (dxf)</t>
  </si>
  <si>
    <t>External approved document list (xls)</t>
  </si>
  <si>
    <t>Febdok (fdw)</t>
  </si>
  <si>
    <t>GIF (gif) (gif)</t>
  </si>
  <si>
    <t>HTML Document (html)</t>
  </si>
  <si>
    <t>Hybrid AutoCAD (dwg)</t>
  </si>
  <si>
    <t>JPG (jpg)</t>
  </si>
  <si>
    <t>List of documents  - Offshore Technology (xls)</t>
  </si>
  <si>
    <t>Material tests (fys)</t>
  </si>
  <si>
    <t>Mechanical (dwg)</t>
  </si>
  <si>
    <t>Microsoft Excel Macro-Enabled Worksheet (xlsm)</t>
  </si>
  <si>
    <t>Microsoft Word Document (docx)</t>
  </si>
  <si>
    <t>Microsoft Word Macro-Enabled Document (docm)</t>
  </si>
  <si>
    <t>Microstation (dgn)</t>
  </si>
  <si>
    <t>Movie AVI (avi)</t>
  </si>
  <si>
    <t>Movie MPG (mpg)</t>
  </si>
  <si>
    <t>MPEG4 (mp4)</t>
  </si>
  <si>
    <t>MS Access (mdb)</t>
  </si>
  <si>
    <t>MS Excel (xls)</t>
  </si>
  <si>
    <t>MS PowerPoint (ppt)</t>
  </si>
  <si>
    <t>MS Project (mpp)</t>
  </si>
  <si>
    <t>MS Visio (vsd)</t>
  </si>
  <si>
    <t>MS Word (doc)</t>
  </si>
  <si>
    <t>NDT Records (svejsefilm) (fys)</t>
  </si>
  <si>
    <t>Paper (vir)</t>
  </si>
  <si>
    <t>PLC (zip)</t>
  </si>
  <si>
    <t>Scanned (tif)</t>
  </si>
  <si>
    <t>STEP 3D CAD (stp)</t>
  </si>
  <si>
    <t>System binder (fys)</t>
  </si>
  <si>
    <t>Text (txt) (txt)</t>
  </si>
  <si>
    <t>Tracing paper (kalke) (vir)</t>
  </si>
  <si>
    <t>Transparent (vir)</t>
  </si>
  <si>
    <t>Virtual document (vir)</t>
  </si>
  <si>
    <t>WEB pages (htm)</t>
  </si>
  <si>
    <t>ZIP (zip)</t>
  </si>
  <si>
    <t>AllowUseReservation</t>
  </si>
  <si>
    <t>O&amp;M</t>
  </si>
  <si>
    <t>LocType</t>
  </si>
  <si>
    <t>PROJEKT</t>
  </si>
  <si>
    <t>TILLADBRUGRESERVATION</t>
  </si>
  <si>
    <t>OANDM</t>
  </si>
  <si>
    <t>Allow Use Reservation</t>
  </si>
  <si>
    <t>Tillad brug reservation</t>
  </si>
  <si>
    <t>Z</t>
  </si>
  <si>
    <t>11</t>
  </si>
  <si>
    <t>CCE06062017</t>
  </si>
  <si>
    <t>E50115-B0344 R102</t>
  </si>
  <si>
    <t>SIEMENS</t>
  </si>
  <si>
    <t>DIMPE</t>
  </si>
  <si>
    <t>MIADR</t>
  </si>
  <si>
    <t>HOW01 OFFSHORE WIND FARM</t>
  </si>
  <si>
    <t>AAD       &amp;ABF001</t>
  </si>
  <si>
    <t>HV SWITCHGEAR (GIS) 220KV - PRIMARY EQUIPMENT</t>
  </si>
  <si>
    <t>ETP DISPATCH NOTE, Z11</t>
  </si>
  <si>
    <t>FOUNDATION LOADS REPROT</t>
  </si>
  <si>
    <t>HOW01-PROJECT</t>
  </si>
  <si>
    <t>..\Final\01 Primary Equipment\HOW01=Z11AAD&amp;CPA001.pdf</t>
  </si>
  <si>
    <t>..\Final\01 Primary Equipment\HOW01=Z11AAD&amp;EDA001.pdf</t>
  </si>
  <si>
    <t>..\Final\01 Primary Equipment\HOW01=Z11AAD&amp;EDA002.pdf</t>
  </si>
  <si>
    <t>..\Final\01 Primary Equipment\HOW01=Z11AAD&amp;EDA004.pdf</t>
  </si>
  <si>
    <t>..\Final\01 Primary Equipment\HOW01=Z11AAD&amp;ABF001.pdf</t>
  </si>
  <si>
    <t>..\Final\01 Primary Equipment\HOW01=Z11AAD&amp;CLC001.pdf</t>
  </si>
  <si>
    <t>..\Final\01 Primary Equipment\HOW01</t>
  </si>
  <si>
    <t>AAD       &amp;CPA001</t>
  </si>
  <si>
    <t>AAD       &amp;EDA001</t>
  </si>
  <si>
    <t>AAD       &amp;EDA002</t>
  </si>
  <si>
    <t>AAD       &amp;EDA004</t>
  </si>
  <si>
    <t>001</t>
  </si>
  <si>
    <t>002</t>
  </si>
  <si>
    <t>003</t>
  </si>
  <si>
    <t>004</t>
  </si>
  <si>
    <t>005</t>
  </si>
  <si>
    <t>0027118159_001</t>
  </si>
  <si>
    <t>27118159-0100_3ES6_198-4PE41-6EA1_X50_U06</t>
  </si>
  <si>
    <t>TRANSPORT SEPARATIONS FOR HV GIS SHIPPING</t>
  </si>
  <si>
    <t>VOLTAGE TRANSFORMER, 1P, PRIMARY DRAWING</t>
  </si>
  <si>
    <t>SURGE ARRESTER, TECHNICAL DATASHEET, DATA</t>
  </si>
  <si>
    <t>SURGE ARRESTER, TECHNICAL DATASHEET, DIMENSIONS</t>
  </si>
  <si>
    <t>HZ_440-11846_HOW11</t>
  </si>
  <si>
    <t>ZMB 237567 S49T -26MF</t>
  </si>
  <si>
    <t>006</t>
  </si>
  <si>
    <t>..</t>
  </si>
  <si>
    <t>Final</t>
  </si>
  <si>
    <t>02 Secondary Equipment</t>
  </si>
  <si>
    <t>01_01</t>
  </si>
  <si>
    <t>HOW01=Z11AAD01WA001&amp;EMA001.pdf</t>
  </si>
  <si>
    <t>HOW01=Z11AAD01WA001&amp;EMA001-001.dwg</t>
  </si>
  <si>
    <t>HOW01=Z11AAD01WA001&amp;EMA001-002.dwg</t>
  </si>
  <si>
    <t>HOW01=Z11AAD01WA001&amp;EMA001-003.dwg</t>
  </si>
  <si>
    <t>HOW01=Z11AAD01WA001&amp;EMA001-004.dwg</t>
  </si>
  <si>
    <t>HOW01=Z11AAD01WA001&amp;EMA001-005.dwg</t>
  </si>
  <si>
    <t>HOW01=Z11AAD01WA001&amp;EMA001-006.dwg</t>
  </si>
  <si>
    <t>HOW01=Z11AAD01WA001&amp;EMA001-007.dwg</t>
  </si>
  <si>
    <t>HOW01=Z11AAD01WA001&amp;EMA001-008.dwg</t>
  </si>
  <si>
    <t>HOW01=Z11AAD01WA001&amp;EMA001-009.dwg</t>
  </si>
  <si>
    <t>HOW01=Z11AAD01WA001&amp;EMA001-010.dwg</t>
  </si>
  <si>
    <t>HOW01=Z11AAD01WA001&amp;EMA001-011.dwg</t>
  </si>
  <si>
    <t>HOW01=Z11AAD01WA001&amp;EMA001-012.dwg</t>
  </si>
  <si>
    <t>HOW01=Z11AAD01WA001&amp;EMA001-013.dwg</t>
  </si>
  <si>
    <t>HOW01=Z11AAD01WA001&amp;EMA001-014.dwg</t>
  </si>
  <si>
    <t>HOW01=Z11AAD01WA001&amp;EMA001-015.dwg</t>
  </si>
  <si>
    <t>HOW01=Z11AAD01WA001&amp;EMA001-016.dwg</t>
  </si>
  <si>
    <t>HOW01=Z11AAD01WA001&amp;EMA001-017.dwg</t>
  </si>
  <si>
    <t>HOW01=Z11AAD01WA001&amp;EMA001-018.dwg</t>
  </si>
  <si>
    <t>HOW01=Z11AAD01WA001&amp;EMA001-019.dwg</t>
  </si>
  <si>
    <t>HOW01=Z11AAD01WA001&amp;EMA001-020.dwg</t>
  </si>
  <si>
    <t>HOW01=Z11AAD01WA001&amp;EMA001-021.dwg</t>
  </si>
  <si>
    <t>HOW01=Z11AAD01WA001&amp;EMA001-022.dwg</t>
  </si>
  <si>
    <t>HOW01=Z11AAD01WA001&amp;EMA001-023.dwg</t>
  </si>
  <si>
    <t>HOW01=Z11AAD01WA001&amp;EMA001-024.dwg</t>
  </si>
  <si>
    <t>HOW01=Z11AAD01WA001&amp;EMA001-025.dwg</t>
  </si>
  <si>
    <t>HOW01=Z11AAD01WA001&amp;EMA001-026.dwg</t>
  </si>
  <si>
    <t>HOW01=Z11AAD01WA001&amp;EMA001-027.dwg</t>
  </si>
  <si>
    <t>HOW01=Z11AAD01WA001&amp;EMA001-028.dwg</t>
  </si>
  <si>
    <t>HOW01=Z11AAD01WA001&amp;EMA001-029.dwg</t>
  </si>
  <si>
    <t>HOW01=Z11AAD01WA001&amp;EMA001-030.dwg</t>
  </si>
  <si>
    <t>HOW01=Z11AAD01WA001&amp;EMA001-031.dwg</t>
  </si>
  <si>
    <t>HOW01=Z11AAD01WA001&amp;EMA001-032.dwg</t>
  </si>
  <si>
    <t>HOW01=Z11AAD01WA001&amp;EMA001-033.dwg</t>
  </si>
  <si>
    <t>HOW01=Z11AAD01WA001&amp;EMA001-034.dwg</t>
  </si>
  <si>
    <t>HOW01=Z11AAD01WA001&amp;EMA001-035.dwg</t>
  </si>
  <si>
    <t>HOW01=Z11AAD01WA001&amp;EMA001-036.dwg</t>
  </si>
  <si>
    <t>HOW01=Z11AAD01WA001&amp;EMA001-037.dwg</t>
  </si>
  <si>
    <t>HOW01=Z11AAD01WA001&amp;EMA001-038.dwg</t>
  </si>
  <si>
    <t>HOW01=Z11AAD01WA001&amp;EMA001-039.dwg</t>
  </si>
  <si>
    <t>HOW01=Z11AAD01WA001&amp;EMA001-040.dwg</t>
  </si>
  <si>
    <t>HOW01=Z11AAD01WA001&amp;EMA001-041.dwg</t>
  </si>
  <si>
    <t>HOW01=Z11AAD01WA001&amp;EMA001-042.dwg</t>
  </si>
  <si>
    <t>HOW01=Z11AAD01WA001&amp;EMA001-043.dwg</t>
  </si>
  <si>
    <t>HOW01=Z11AAD01WA001&amp;EMA001-044.dwg</t>
  </si>
  <si>
    <t>HOW01=Z11AAD01WA001&amp;EMA001-045.dwg</t>
  </si>
  <si>
    <t>HOW01=Z11AAD01WA001&amp;EMA001-046.dwg</t>
  </si>
  <si>
    <t>HOW01=Z11AAD01WA001&amp;EMA001-047.dwg</t>
  </si>
  <si>
    <t>HOW01=Z11AAD01WA001&amp;EMA001-048.dwg</t>
  </si>
  <si>
    <t>HOW01=Z11AAD01WA001&amp;EMA001-049.dwg</t>
  </si>
  <si>
    <t>HOW01=Z11AAD01WA001&amp;EMA001-050.dwg</t>
  </si>
  <si>
    <t>HOW01=Z11AAD01WA001&amp;EMA001-051.dwg</t>
  </si>
  <si>
    <t>HOW01=Z11AAD01WA001&amp;EMA001-052.dwg</t>
  </si>
  <si>
    <t>HOW01=Z11AAD01WA001&amp;EMA001-053.dwg</t>
  </si>
  <si>
    <t>HOW01=Z11AAD01WA001&amp;EMA001-054.dwg</t>
  </si>
  <si>
    <t>HOW01=Z11AAD01WA001&amp;EMA001-055.dwg</t>
  </si>
  <si>
    <t>HOW01=Z11AAD01WA001&amp;EMA001-056.dwg</t>
  </si>
  <si>
    <t>HOW01=Z11AAD01WA001&amp;EMA001-057.dwg</t>
  </si>
  <si>
    <t>HOW01=Z11AAD01WA001&amp;EMA001-058.dwg</t>
  </si>
  <si>
    <t>HOW01=Z11AAD01WA001&amp;EMA001-059.dwg</t>
  </si>
  <si>
    <t>HOW01=Z11AAD01WA001&amp;EMA001-060.dwg</t>
  </si>
  <si>
    <t>HOW01=Z11AAD01WA001&amp;EMA001-061.dwg</t>
  </si>
  <si>
    <t>HOW01=Z11AAD01WA001&amp;EMA001-062.dwg</t>
  </si>
  <si>
    <t>HOW01=Z11AAD01WA001&amp;EMA001-063.dwg</t>
  </si>
  <si>
    <t>HOW01=Z11AAD01WA001&amp;EMA001-064.dwg</t>
  </si>
  <si>
    <t>HOW01=Z11AAD01WA001&amp;EMA001-065.dwg</t>
  </si>
  <si>
    <t>HOW01=Z11AAD01WA001&amp;EMA001-066.dwg</t>
  </si>
  <si>
    <t>HOW01=Z11AAD01WA001&amp;EMA001-067.dwg</t>
  </si>
  <si>
    <t>HOW01=Z11AAD01WA001&amp;EMA001-068.dwg</t>
  </si>
  <si>
    <t>HOW01=Z11AAD01WA001&amp;EMA001-069.dwg</t>
  </si>
  <si>
    <t>HOW01=Z11AAD01WA001&amp;EMA001-070.dwg</t>
  </si>
  <si>
    <t>HOW01=Z11AAD01WA001&amp;EMA001-071.dwg</t>
  </si>
  <si>
    <t>HOW01=Z11AAD01WA001&amp;EMA001-072.dwg</t>
  </si>
  <si>
    <t>HOW01=Z11AAD01WA001&amp;EMA001-073.dwg</t>
  </si>
  <si>
    <t>HOW01=Z11AAD01WA001&amp;EMA001-074.dwg</t>
  </si>
  <si>
    <t>HOW01=Z11AAD01WA001&amp;EMA001-075.dwg</t>
  </si>
  <si>
    <t>HOW01=Z11AAD01WA001&amp;EMA001-076.dwg</t>
  </si>
  <si>
    <t>HOW01=Z11AAD01WA001&amp;EMA001-077.dwg</t>
  </si>
  <si>
    <t>HOW01=Z11AAD01WA001&amp;EMA001-078.dwg</t>
  </si>
  <si>
    <t>HOW01=Z11AAD01WA001&amp;EMA001-079.dwg</t>
  </si>
  <si>
    <t>HOW01=Z11AAD01WA001&amp;EMA001-080.dwg</t>
  </si>
  <si>
    <t>HOW01=Z11AAD01WA001&amp;EMA001-081.dwg</t>
  </si>
  <si>
    <t>HOW01=Z11AAD01WA001&amp;EMA001-082.dwg</t>
  </si>
  <si>
    <t>HOW01=Z11AAD01WA001&amp;EMA001-083.dwg</t>
  </si>
  <si>
    <t>HOW01=Z11AAD01WA001&amp;EMA001-084.dwg</t>
  </si>
  <si>
    <t>HOW01=Z11AAD01WA001&amp;EMA001-085.dwg</t>
  </si>
  <si>
    <t>HOW01=Z11AAD01WA001&amp;EMA001-086.dwg</t>
  </si>
  <si>
    <t>HOW01=Z11AAD01WA001&amp;EMA001-087.dwg</t>
  </si>
  <si>
    <t>HOW01=Z11AAD01WA001&amp;EMA001-088.dwg</t>
  </si>
  <si>
    <t>HOW01=Z11AAD01WA001&amp;EMA001-089.dwg</t>
  </si>
  <si>
    <t>HOW01=Z11AAD01WA001&amp;EMA001-090.dwg</t>
  </si>
  <si>
    <t>HOW01=Z11AAD01WA001&amp;EMA001-091.dwg</t>
  </si>
  <si>
    <t>HOW01=Z11AAD01WA001&amp;EMA001-092.dwg</t>
  </si>
  <si>
    <t>HOW01=Z11AAD01WA001&amp;EMA001-093.dwg</t>
  </si>
  <si>
    <t>HOW01=Z11AAD01WA001&amp;EMA001-094.dwg</t>
  </si>
  <si>
    <t>HOW01=Z11AAD01WA001&amp;EMA001-095.dwg</t>
  </si>
  <si>
    <t>HOW01=Z11AAD01WA001&amp;EMA001-096.dwg</t>
  </si>
  <si>
    <t>HOW01=Z11AAD01WA001&amp;EMA001-097.dwg</t>
  </si>
  <si>
    <t>HOW01=Z11AAD01WA001&amp;EMA001-098.dwg</t>
  </si>
  <si>
    <t>HOW01=Z11AAD01WA001&amp;EMA001-099.dwg</t>
  </si>
  <si>
    <t>HOW01=Z11AAD01WA001&amp;EMA001-100.dwg</t>
  </si>
  <si>
    <t>HOW01=Z11AAD01WA001&amp;EMA001-101.dwg</t>
  </si>
  <si>
    <t>HOW01=Z11AAD01WA001&amp;EMA001-102.dwg</t>
  </si>
  <si>
    <t>HOW01=Z11AAD01WA001&amp;EMA001-103.dwg</t>
  </si>
  <si>
    <t>HOW01=Z11AAD01WA001&amp;EMA001-104.dwg</t>
  </si>
  <si>
    <t>HOW01=Z11AAD01WA001&amp;EMA001-105.dwg</t>
  </si>
  <si>
    <t>HOW01=Z11AAD01WA001&amp;EMA001-106.dwg</t>
  </si>
  <si>
    <t>HOW01=Z11AAD01WA001&amp;EMA001-107.dwg</t>
  </si>
  <si>
    <t>HOW01=Z11AAD01WA001&amp;EMA001-108.dwg</t>
  </si>
  <si>
    <t>HOW01=Z11AAD01WA001&amp;EMA001-109.dwg</t>
  </si>
  <si>
    <t>HOW01=Z11AAD01WA001&amp;EMA001-110.dwg</t>
  </si>
  <si>
    <t>HOW01=Z11AAD01WA001&amp;EMA001-111.dwg</t>
  </si>
  <si>
    <t>HOW01=Z11AAD01WA001&amp;EMA001-112.dwg</t>
  </si>
  <si>
    <t>HOW01=Z11AAD01WA001&amp;EMA001-113.dwg</t>
  </si>
  <si>
    <t>HOW01=Z11AAD01WA001&amp;EMA001-114.dwg</t>
  </si>
  <si>
    <t>HOW01=Z11AAD01WA001&amp;EMA001-115.dwg</t>
  </si>
  <si>
    <t>HOW01=Z11AAD01WA001&amp;EMA001-116.dwg</t>
  </si>
  <si>
    <t>HOW01=Z11AAD01WA001&amp;EMA001-117.dwg</t>
  </si>
  <si>
    <t>HOW01=Z11AAD01WA001&amp;EMA001-118.dwg</t>
  </si>
  <si>
    <t>HOW01=Z11AAD01WA001&amp;EMA001-119.dwg</t>
  </si>
  <si>
    <t>HOW01=Z11AAD01WA001&amp;EMA001-120.dwg</t>
  </si>
  <si>
    <t>HOW01=Z11AAD01WA001&amp;EMA001-121.dwg</t>
  </si>
  <si>
    <t>HOW01=Z11AAD01WA001&amp;EMA001-122.dwg</t>
  </si>
  <si>
    <t>HOW01=Z11AAD01WA001&amp;EMA001-123.dwg</t>
  </si>
  <si>
    <t>HOW01=Z11AAD01WA001&amp;EMA001-124.dwg</t>
  </si>
  <si>
    <t>HOW01=Z11AAD01WA001&amp;EMA001-125.dwg</t>
  </si>
  <si>
    <t>HOW01=Z11AAD01WA001&amp;EMA001-126.dwg</t>
  </si>
  <si>
    <t>HOW01=Z11AAD01WA001&amp;EMA001-127.dwg</t>
  </si>
  <si>
    <t>HOW01=Z11AAD01WA001&amp;EMA001-128.dwg</t>
  </si>
  <si>
    <t>HOW01=Z11AAD01WA001&amp;EMA001-129.dwg</t>
  </si>
  <si>
    <t>HOW01=Z11AAD01WA001&amp;EMA001-130.dwg</t>
  </si>
  <si>
    <t>HOW01=Z11AAD01WA001&amp;EMA001-131.dwg</t>
  </si>
  <si>
    <t>HOW01=Z11AAD01WA001&amp;EMA001-132.dwg</t>
  </si>
  <si>
    <t>HOW01=Z11AAD01WA001&amp;EMA001-133.dwg</t>
  </si>
  <si>
    <t>HOW01=Z11AAD01WA001&amp;EMA001-134.dwg</t>
  </si>
  <si>
    <t>HOW01=Z11AAD01WA001&amp;EMA001-135.dwg</t>
  </si>
  <si>
    <t>HOW01=Z11AAD01WA001&amp;EMA001-136.dwg</t>
  </si>
  <si>
    <t>HOW01=Z11AAD01WA001&amp;EMA001-137.dwg</t>
  </si>
  <si>
    <t>HOW01=Z11AAD01WA001&amp;EMA001-138.dwg</t>
  </si>
  <si>
    <t>HOW01=Z11AAD01WA001&amp;EMA001-139.dwg</t>
  </si>
  <si>
    <t>HOW01=Z11AAD01WA001&amp;EMA001-140.dwg</t>
  </si>
  <si>
    <t>HOW01=Z11AAD01WA001&amp;EMA001-141.dwg</t>
  </si>
  <si>
    <t>HOW01=Z11AAD01WA001&amp;EMA001-142.dwg</t>
  </si>
  <si>
    <t>HOW01=Z11AAD01WA001&amp;EMA001-143.dwg</t>
  </si>
  <si>
    <t>HOW01=Z11AAD01WA001&amp;EMA001-144.dwg</t>
  </si>
  <si>
    <t>HOW01=Z11AAD01WA001&amp;EMA001-145.dwg</t>
  </si>
  <si>
    <t>HOW01=Z11AAD01WA001&amp;EMA001-146.dwg</t>
  </si>
  <si>
    <t>HOW01=Z11AAD01WA001&amp;EMA001-147.dwg</t>
  </si>
  <si>
    <t>HOW01=Z11AAD01WA001&amp;EMA001-148.dwg</t>
  </si>
  <si>
    <t>HOW01=Z11AAD01WA001&amp;EMA001-149.dwg</t>
  </si>
  <si>
    <t>HOW01=Z11AAD01WA001&amp;EMA001-150.dwg</t>
  </si>
  <si>
    <t>HOW01=Z11AAD01WA001&amp;EMA001-151.dwg</t>
  </si>
  <si>
    <t>HOW01=Z11AAD01WA001&amp;EMA001-152.dwg</t>
  </si>
  <si>
    <t>HOW01=Z11AAD01WA001&amp;EMA001-153.dwg</t>
  </si>
  <si>
    <t>HOW01=Z11AAD01WA001&amp;EMA001-154.dwg</t>
  </si>
  <si>
    <t>HOW01=Z11AAD01WA001&amp;EMA001-155.dwg</t>
  </si>
  <si>
    <t>HOW01=Z11AAD01WA001&amp;EMA001-156.dwg</t>
  </si>
  <si>
    <t>HOW01=Z11AAD01WA001&amp;EMA001-157.dwg</t>
  </si>
  <si>
    <t>HOW01=Z11AAD01WA001&amp;EMA001-158.dwg</t>
  </si>
  <si>
    <t>HOW01=Z11AAD01WA001&amp;EMA001-159.dwg</t>
  </si>
  <si>
    <t>HOW01=Z11AAD01WA001&amp;EMA001-160.dwg</t>
  </si>
  <si>
    <t>HOW01=Z11AAD01WA001&amp;EMA001-161.dwg</t>
  </si>
  <si>
    <t>HOW01=Z11AAD01WA001&amp;EMA001-162.dwg</t>
  </si>
  <si>
    <t>HOW01=Z11AAD01WA001&amp;EMA001-163.dwg</t>
  </si>
  <si>
    <t>HOW01=Z11AAD01WA001&amp;EMA001-164.dwg</t>
  </si>
  <si>
    <t>HOW01=Z11AAD01WA001&amp;EMA001-165.dwg</t>
  </si>
  <si>
    <t>HOW01=Z11AAD01WA001&amp;EMA001-166.dwg</t>
  </si>
  <si>
    <t>HOW01=Z11AAD01WA001&amp;EMA001-167.dwg</t>
  </si>
  <si>
    <t>HOW01=Z11AAD01WA001&amp;EMA001-168.dwg</t>
  </si>
  <si>
    <t>HOW01=Z11AAD01WA001&amp;EMA001-169.dwg</t>
  </si>
  <si>
    <t>HOW01=Z11AAD01WA001&amp;EMA001-170.dwg</t>
  </si>
  <si>
    <t>HOW01=Z11AAD01WA001&amp;EMA001-171.dwg</t>
  </si>
  <si>
    <t>HOW01=Z11AAD01WA001&amp;EMA001-172.dwg</t>
  </si>
  <si>
    <t>HOW01=Z11AAD01WA001&amp;EMA001-173.dwg</t>
  </si>
  <si>
    <t>01_02</t>
  </si>
  <si>
    <t>HOW01=Z11AAD02WA001&amp;EMA001.pdf</t>
  </si>
  <si>
    <t>HOW01=Z11AAD02WA001&amp;EMA001-001.dwg</t>
  </si>
  <si>
    <t>HOW01=Z11AAD02WA001&amp;EMA001-002.dwg</t>
  </si>
  <si>
    <t>HOW01=Z11AAD02WA001&amp;EMA001-003.dwg</t>
  </si>
  <si>
    <t>HOW01=Z11AAD02WA001&amp;EMA001-004.dwg</t>
  </si>
  <si>
    <t>HOW01=Z11AAD02WA001&amp;EMA001-005.dwg</t>
  </si>
  <si>
    <t>HOW01=Z11AAD02WA001&amp;EMA001-006.dwg</t>
  </si>
  <si>
    <t>HOW01=Z11AAD02WA001&amp;EMA001-007.dwg</t>
  </si>
  <si>
    <t>HOW01=Z11AAD02WA001&amp;EMA001-008.dwg</t>
  </si>
  <si>
    <t>HOW01=Z11AAD02WA001&amp;EMA001-009.dwg</t>
  </si>
  <si>
    <t>HOW01=Z11AAD02WA001&amp;EMA001-010.dwg</t>
  </si>
  <si>
    <t>HOW01=Z11AAD02WA001&amp;EMA001-011.dwg</t>
  </si>
  <si>
    <t>HOW01=Z11AAD02WA001&amp;EMA001-012.dwg</t>
  </si>
  <si>
    <t>HOW01=Z11AAD02WA001&amp;EMA001-013.dwg</t>
  </si>
  <si>
    <t>HOW01=Z11AAD02WA001&amp;EMA001-014.dwg</t>
  </si>
  <si>
    <t>HOW01=Z11AAD02WA001&amp;EMA001-015.dwg</t>
  </si>
  <si>
    <t>HOW01=Z11AAD02WA001&amp;EMA001-016.dwg</t>
  </si>
  <si>
    <t>HOW01=Z11AAD02WA001&amp;EMA001-017.dwg</t>
  </si>
  <si>
    <t>HOW01=Z11AAD02WA001&amp;EMA001-018.dwg</t>
  </si>
  <si>
    <t>HOW01=Z11AAD02WA001&amp;EMA001-019.dwg</t>
  </si>
  <si>
    <t>HOW01=Z11AAD02WA001&amp;EMA001-020.dwg</t>
  </si>
  <si>
    <t>HOW01=Z11AAD02WA001&amp;EMA001-021.dwg</t>
  </si>
  <si>
    <t>HOW01=Z11AAD02WA001&amp;EMA001-022.dwg</t>
  </si>
  <si>
    <t>HOW01=Z11AAD02WA001&amp;EMA001-023.dwg</t>
  </si>
  <si>
    <t>HOW01=Z11AAD02WA001&amp;EMA001-024.dwg</t>
  </si>
  <si>
    <t>HOW01=Z11AAD02WA001&amp;EMA001-025.dwg</t>
  </si>
  <si>
    <t>HOW01=Z11AAD02WA001&amp;EMA001-026.dwg</t>
  </si>
  <si>
    <t>HOW01=Z11AAD02WA001&amp;EMA001-027.dwg</t>
  </si>
  <si>
    <t>HOW01=Z11AAD02WA001&amp;EMA001-028.dwg</t>
  </si>
  <si>
    <t>HOW01=Z11AAD02WA001&amp;EMA001-029.dwg</t>
  </si>
  <si>
    <t>HOW01=Z11AAD02WA001&amp;EMA001-030.dwg</t>
  </si>
  <si>
    <t>HOW01=Z11AAD02WA001&amp;EMA001-031.dwg</t>
  </si>
  <si>
    <t>HOW01=Z11AAD02WA001&amp;EMA001-032.dwg</t>
  </si>
  <si>
    <t>HOW01=Z11AAD02WA001&amp;EMA001-033.dwg</t>
  </si>
  <si>
    <t>HOW01=Z11AAD02WA001&amp;EMA001-034.dwg</t>
  </si>
  <si>
    <t>HOW01=Z11AAD02WA001&amp;EMA001-035.dwg</t>
  </si>
  <si>
    <t>HOW01=Z11AAD02WA001&amp;EMA001-036.dwg</t>
  </si>
  <si>
    <t>HOW01=Z11AAD02WA001&amp;EMA001-037.dwg</t>
  </si>
  <si>
    <t>HOW01=Z11AAD02WA001&amp;EMA001-038.dwg</t>
  </si>
  <si>
    <t>HOW01=Z11AAD02WA001&amp;EMA001-039.dwg</t>
  </si>
  <si>
    <t>HOW01=Z11AAD02WA001&amp;EMA001-040.dwg</t>
  </si>
  <si>
    <t>HOW01=Z11AAD02WA001&amp;EMA001-041.dwg</t>
  </si>
  <si>
    <t>HOW01=Z11AAD02WA001&amp;EMA001-042.dwg</t>
  </si>
  <si>
    <t>HOW01=Z11AAD02WA001&amp;EMA001-043.dwg</t>
  </si>
  <si>
    <t>HOW01=Z11AAD02WA001&amp;EMA001-044.dwg</t>
  </si>
  <si>
    <t>HOW01=Z11AAD02WA001&amp;EMA001-045.dwg</t>
  </si>
  <si>
    <t>HOW01=Z11AAD02WA001&amp;EMA001-046.dwg</t>
  </si>
  <si>
    <t>HOW01=Z11AAD02WA001&amp;EMA001-047.dwg</t>
  </si>
  <si>
    <t>HOW01=Z11AAD02WA001&amp;EMA001-048.dwg</t>
  </si>
  <si>
    <t>HOW01=Z11AAD02WA001&amp;EMA001-049.dwg</t>
  </si>
  <si>
    <t>HOW01=Z11AAD02WA001&amp;EMA001-050.dwg</t>
  </si>
  <si>
    <t>HOW01=Z11AAD02WA001&amp;EMA001-051.dwg</t>
  </si>
  <si>
    <t>HOW01=Z11AAD02WA001&amp;EMA001-052.dwg</t>
  </si>
  <si>
    <t>HOW01=Z11AAD02WA001&amp;EMA001-053.dwg</t>
  </si>
  <si>
    <t>HOW01=Z11AAD02WA001&amp;EMA001-054.dwg</t>
  </si>
  <si>
    <t>HOW01=Z11AAD02WA001&amp;EMA001-055.dwg</t>
  </si>
  <si>
    <t>HOW01=Z11AAD02WA001&amp;EMA001-056.dwg</t>
  </si>
  <si>
    <t>HOW01=Z11AAD02WA001&amp;EMA001-057.dwg</t>
  </si>
  <si>
    <t>HOW01=Z11AAD02WA001&amp;EMA001-058.dwg</t>
  </si>
  <si>
    <t>HOW01=Z11AAD02WA001&amp;EMA001-059.dwg</t>
  </si>
  <si>
    <t>HOW01=Z11AAD02WA001&amp;EMA001-060.dwg</t>
  </si>
  <si>
    <t>HOW01=Z11AAD02WA001&amp;EMA001-061.dwg</t>
  </si>
  <si>
    <t>HOW01=Z11AAD02WA001&amp;EMA001-062.dwg</t>
  </si>
  <si>
    <t>HOW01=Z11AAD02WA001&amp;EMA001-063.dwg</t>
  </si>
  <si>
    <t>HOW01=Z11AAD02WA001&amp;EMA001-064.dwg</t>
  </si>
  <si>
    <t>HOW01=Z11AAD02WA001&amp;EMA001-065.dwg</t>
  </si>
  <si>
    <t>HOW01=Z11AAD02WA001&amp;EMA001-066.dwg</t>
  </si>
  <si>
    <t>HOW01=Z11AAD02WA001&amp;EMA001-067.dwg</t>
  </si>
  <si>
    <t>HOW01=Z11AAD02WA001&amp;EMA001-068.dwg</t>
  </si>
  <si>
    <t>HOW01=Z11AAD02WA001&amp;EMA001-069.dwg</t>
  </si>
  <si>
    <t>HOW01=Z11AAD02WA001&amp;EMA001-070.dwg</t>
  </si>
  <si>
    <t>HOW01=Z11AAD02WA001&amp;EMA001-071.dwg</t>
  </si>
  <si>
    <t>HOW01=Z11AAD02WA001&amp;EMA001-072.dwg</t>
  </si>
  <si>
    <t>HOW01=Z11AAD02WA001&amp;EMA001-073.dwg</t>
  </si>
  <si>
    <t>HOW01=Z11AAD02WA001&amp;EMA001-074.dwg</t>
  </si>
  <si>
    <t>HOW01=Z11AAD02WA001&amp;EMA001-075.dwg</t>
  </si>
  <si>
    <t>HOW01=Z11AAD02WA001&amp;EMA001-076.dwg</t>
  </si>
  <si>
    <t>HOW01=Z11AAD02WA001&amp;EMA001-077.dwg</t>
  </si>
  <si>
    <t>HOW01=Z11AAD02WA001&amp;EMA001-078.dwg</t>
  </si>
  <si>
    <t>HOW01=Z11AAD02WA001&amp;EMA001-079.dwg</t>
  </si>
  <si>
    <t>HOW01=Z11AAD02WA001&amp;EMA001-080.dwg</t>
  </si>
  <si>
    <t>HOW01=Z11AAD02WA001&amp;EMA001-081.dwg</t>
  </si>
  <si>
    <t>HOW01=Z11AAD02WA001&amp;EMA001-082.dwg</t>
  </si>
  <si>
    <t>HOW01=Z11AAD02WA001&amp;EMA001-083.dwg</t>
  </si>
  <si>
    <t>HOW01=Z11AAD02WA001&amp;EMA001-084.dwg</t>
  </si>
  <si>
    <t>HOW01=Z11AAD02WA001&amp;EMA001-085.dwg</t>
  </si>
  <si>
    <t>HOW01=Z11AAD02WA001&amp;EMA001-086.dwg</t>
  </si>
  <si>
    <t>HOW01=Z11AAD02WA001&amp;EMA001-087.dwg</t>
  </si>
  <si>
    <t>HOW01=Z11AAD02WA001&amp;EMA001-088.dwg</t>
  </si>
  <si>
    <t>HOW01=Z11AAD02WA001&amp;EMA001-089.dwg</t>
  </si>
  <si>
    <t>HOW01=Z11AAD02WA001&amp;EMA001-090.dwg</t>
  </si>
  <si>
    <t>HOW01=Z11AAD02WA001&amp;EMA001-091.dwg</t>
  </si>
  <si>
    <t>HOW01=Z11AAD02WA001&amp;EMA001-092.dwg</t>
  </si>
  <si>
    <t>HOW01=Z11AAD02WA001&amp;EMA001-093.dwg</t>
  </si>
  <si>
    <t>HOW01=Z11AAD02WA001&amp;EMA001-094.dwg</t>
  </si>
  <si>
    <t>HOW01=Z11AAD02WA001&amp;EMA001-095.dwg</t>
  </si>
  <si>
    <t>HOW01=Z11AAD02WA001&amp;EMA001-096.dwg</t>
  </si>
  <si>
    <t>HOW01=Z11AAD02WA001&amp;EMA001-097.dwg</t>
  </si>
  <si>
    <t>HOW01=Z11AAD02WA001&amp;EMA001-098.dwg</t>
  </si>
  <si>
    <t>HOW01=Z11AAD02WA001&amp;EMA001-099.dwg</t>
  </si>
  <si>
    <t>HOW01=Z11AAD02WA001&amp;EMA001-100.dwg</t>
  </si>
  <si>
    <t>HOW01=Z11AAD02WA001&amp;EMA001-101.dwg</t>
  </si>
  <si>
    <t>HOW01=Z11AAD02WA001&amp;EMA001-102.dwg</t>
  </si>
  <si>
    <t>HOW01=Z11AAD02WA001&amp;EMA001-103.dwg</t>
  </si>
  <si>
    <t>HOW01=Z11AAD02WA001&amp;EMA001-104.dwg</t>
  </si>
  <si>
    <t>HOW01=Z11AAD02WA001&amp;EMA001-105.dwg</t>
  </si>
  <si>
    <t>HOW01=Z11AAD02WA001&amp;EMA001-106.dwg</t>
  </si>
  <si>
    <t>HOW01=Z11AAD02WA001&amp;EMA001-107.dwg</t>
  </si>
  <si>
    <t>HOW01=Z11AAD02WA001&amp;EMA001-108.dwg</t>
  </si>
  <si>
    <t>HOW01=Z11AAD02WA001&amp;EMA001-109.dwg</t>
  </si>
  <si>
    <t>HOW01=Z11AAD02WA001&amp;EMA001-110.dwg</t>
  </si>
  <si>
    <t>HOW01=Z11AAD02WA001&amp;EMA001-111.dwg</t>
  </si>
  <si>
    <t>HOW01=Z11AAD02WA001&amp;EMA001-112.dwg</t>
  </si>
  <si>
    <t>HOW01=Z11AAD02WA001&amp;EMA001-113.dwg</t>
  </si>
  <si>
    <t>HOW01=Z11AAD02WA001&amp;EMA001-114.dwg</t>
  </si>
  <si>
    <t>HOW01=Z11AAD02WA001&amp;EMA001-115.dwg</t>
  </si>
  <si>
    <t>HOW01=Z11AAD02WA001&amp;EMA001-116.dwg</t>
  </si>
  <si>
    <t>HOW01=Z11AAD02WA001&amp;EMA001-117.dwg</t>
  </si>
  <si>
    <t>HOW01=Z11AAD02WA001&amp;EMA001-118.dwg</t>
  </si>
  <si>
    <t>HOW01=Z11AAD02WA001&amp;EMA001-119.dwg</t>
  </si>
  <si>
    <t>HOW01=Z11AAD02WA001&amp;EMA001-120.dwg</t>
  </si>
  <si>
    <t>HOW01=Z11AAD02WA001&amp;EMA001-121.dwg</t>
  </si>
  <si>
    <t>HOW01=Z11AAD02WA001&amp;EMA001-122.dwg</t>
  </si>
  <si>
    <t>HOW01=Z11AAD02WA001&amp;EMA001-123.dwg</t>
  </si>
  <si>
    <t>HOW01=Z11AAD02WA001&amp;EMA001-124.dwg</t>
  </si>
  <si>
    <t>HOW01=Z11AAD02WA001&amp;EMA001-125.dwg</t>
  </si>
  <si>
    <t>HOW01=Z11AAD02WA001&amp;EMA001-126.dwg</t>
  </si>
  <si>
    <t>HOW01=Z11AAD02WA001&amp;EMA001-127.dwg</t>
  </si>
  <si>
    <t>HOW01=Z11AAD02WA001&amp;EMA001-128.dwg</t>
  </si>
  <si>
    <t>01_03</t>
  </si>
  <si>
    <t>HOW01=Z11AAD03WA001&amp;EMA001.pdf</t>
  </si>
  <si>
    <t>HOW01=Z11AAD03WA001&amp;EMA001-001.dwg</t>
  </si>
  <si>
    <t>HOW01=Z11AAD03WA001&amp;EMA001-002.dwg</t>
  </si>
  <si>
    <t>HOW01=Z11AAD03WA001&amp;EMA001-003.dwg</t>
  </si>
  <si>
    <t>HOW01=Z11AAD03WA001&amp;EMA001-004.dwg</t>
  </si>
  <si>
    <t>HOW01=Z11AAD03WA001&amp;EMA001-005.dwg</t>
  </si>
  <si>
    <t>HOW01=Z11AAD03WA001&amp;EMA001-006.dwg</t>
  </si>
  <si>
    <t>HOW01=Z11AAD03WA001&amp;EMA001-007.dwg</t>
  </si>
  <si>
    <t>HOW01=Z11AAD03WA001&amp;EMA001-008.dwg</t>
  </si>
  <si>
    <t>HOW01=Z11AAD03WA001&amp;EMA001-009.dwg</t>
  </si>
  <si>
    <t>HOW01=Z11AAD03WA001&amp;EMA001-010.dwg</t>
  </si>
  <si>
    <t>HOW01=Z11AAD03WA001&amp;EMA001-011.dwg</t>
  </si>
  <si>
    <t>HOW01=Z11AAD03WA001&amp;EMA001-012.dwg</t>
  </si>
  <si>
    <t>HOW01=Z11AAD03WA001&amp;EMA001-013.dwg</t>
  </si>
  <si>
    <t>HOW01=Z11AAD03WA001&amp;EMA001-014.dwg</t>
  </si>
  <si>
    <t>HOW01=Z11AAD03WA001&amp;EMA001-015.dwg</t>
  </si>
  <si>
    <t>HOW01=Z11AAD03WA001&amp;EMA001-016.dwg</t>
  </si>
  <si>
    <t>HOW01=Z11AAD03WA001&amp;EMA001-017.dwg</t>
  </si>
  <si>
    <t>HOW01=Z11AAD03WA001&amp;EMA001-018.dwg</t>
  </si>
  <si>
    <t>HOW01=Z11AAD03WA001&amp;EMA001-019.dwg</t>
  </si>
  <si>
    <t>HOW01=Z11AAD03WA001&amp;EMA001-020.dwg</t>
  </si>
  <si>
    <t>HOW01=Z11AAD03WA001&amp;EMA001-021.dwg</t>
  </si>
  <si>
    <t>HOW01=Z11AAD03WA001&amp;EMA001-022.dwg</t>
  </si>
  <si>
    <t>HOW01=Z11AAD03WA001&amp;EMA001-023.dwg</t>
  </si>
  <si>
    <t>HOW01=Z11AAD03WA001&amp;EMA001-024.dwg</t>
  </si>
  <si>
    <t>HOW01=Z11AAD03WA001&amp;EMA001-025.dwg</t>
  </si>
  <si>
    <t>HOW01=Z11AAD03WA001&amp;EMA001-026.dwg</t>
  </si>
  <si>
    <t>HOW01=Z11AAD03WA001&amp;EMA001-027.dwg</t>
  </si>
  <si>
    <t>HOW01=Z11AAD03WA001&amp;EMA001-028.dwg</t>
  </si>
  <si>
    <t>HOW01=Z11AAD03WA001&amp;EMA001-029.dwg</t>
  </si>
  <si>
    <t>HOW01=Z11AAD03WA001&amp;EMA001-030.dwg</t>
  </si>
  <si>
    <t>HOW01=Z11AAD03WA001&amp;EMA001-031.dwg</t>
  </si>
  <si>
    <t>HOW01=Z11AAD03WA001&amp;EMA001-032.dwg</t>
  </si>
  <si>
    <t>HOW01=Z11AAD03WA001&amp;EMA001-033.dwg</t>
  </si>
  <si>
    <t>HOW01=Z11AAD03WA001&amp;EMA001-034.dwg</t>
  </si>
  <si>
    <t>HOW01=Z11AAD03WA001&amp;EMA001-035.dwg</t>
  </si>
  <si>
    <t>HOW01=Z11AAD03WA001&amp;EMA001-036.dwg</t>
  </si>
  <si>
    <t>HOW01=Z11AAD03WA001&amp;EMA001-037.dwg</t>
  </si>
  <si>
    <t>HOW01=Z11AAD03WA001&amp;EMA001-038.dwg</t>
  </si>
  <si>
    <t>HOW01=Z11AAD03WA001&amp;EMA001-039.dwg</t>
  </si>
  <si>
    <t>HOW01=Z11AAD03WA001&amp;EMA001-040.dwg</t>
  </si>
  <si>
    <t>HOW01=Z11AAD03WA001&amp;EMA001-041.dwg</t>
  </si>
  <si>
    <t>HOW01=Z11AAD03WA001&amp;EMA001-042.dwg</t>
  </si>
  <si>
    <t>HOW01=Z11AAD03WA001&amp;EMA001-043.dwg</t>
  </si>
  <si>
    <t>HOW01=Z11AAD03WA001&amp;EMA001-044.dwg</t>
  </si>
  <si>
    <t>HOW01=Z11AAD03WA001&amp;EMA001-045.dwg</t>
  </si>
  <si>
    <t>HOW01=Z11AAD03WA001&amp;EMA001-046.dwg</t>
  </si>
  <si>
    <t>HOW01=Z11AAD03WA001&amp;EMA001-047.dwg</t>
  </si>
  <si>
    <t>HOW01=Z11AAD03WA001&amp;EMA001-048.dwg</t>
  </si>
  <si>
    <t>HOW01=Z11AAD03WA001&amp;EMA001-049.dwg</t>
  </si>
  <si>
    <t>HOW01=Z11AAD03WA001&amp;EMA001-050.dwg</t>
  </si>
  <si>
    <t>HOW01=Z11AAD03WA001&amp;EMA001-051.dwg</t>
  </si>
  <si>
    <t>HOW01=Z11AAD03WA001&amp;EMA001-052.dwg</t>
  </si>
  <si>
    <t>HOW01=Z11AAD03WA001&amp;EMA001-053.dwg</t>
  </si>
  <si>
    <t>HOW01=Z11AAD03WA001&amp;EMA001-054.dwg</t>
  </si>
  <si>
    <t>HOW01=Z11AAD03WA001&amp;EMA001-055.dwg</t>
  </si>
  <si>
    <t>HOW01=Z11AAD03WA001&amp;EMA001-056.dwg</t>
  </si>
  <si>
    <t>HOW01=Z11AAD03WA001&amp;EMA001-057.dwg</t>
  </si>
  <si>
    <t>HOW01=Z11AAD03WA001&amp;EMA001-058.dwg</t>
  </si>
  <si>
    <t>HOW01=Z11AAD03WA001&amp;EMA001-059.dwg</t>
  </si>
  <si>
    <t>HOW01=Z11AAD03WA001&amp;EMA001-060.dwg</t>
  </si>
  <si>
    <t>HOW01=Z11AAD03WA001&amp;EMA001-061.dwg</t>
  </si>
  <si>
    <t>HOW01=Z11AAD03WA001&amp;EMA001-062.dwg</t>
  </si>
  <si>
    <t>HOW01=Z11AAD03WA001&amp;EMA001-063.dwg</t>
  </si>
  <si>
    <t>HOW01=Z11AAD03WA001&amp;EMA001-064.dwg</t>
  </si>
  <si>
    <t>HOW01=Z11AAD03WA001&amp;EMA001-065.dwg</t>
  </si>
  <si>
    <t>HOW01=Z11AAD03WA001&amp;EMA001-066.dwg</t>
  </si>
  <si>
    <t>HOW01=Z11AAD03WA001&amp;EMA001-067.dwg</t>
  </si>
  <si>
    <t>HOW01=Z11AAD03WA001&amp;EMA001-068.dwg</t>
  </si>
  <si>
    <t>HOW01=Z11AAD03WA001&amp;EMA001-069.dwg</t>
  </si>
  <si>
    <t>HOW01=Z11AAD03WA001&amp;EMA001-070.dwg</t>
  </si>
  <si>
    <t>HOW01=Z11AAD03WA001&amp;EMA001-071.dwg</t>
  </si>
  <si>
    <t>HOW01=Z11AAD03WA001&amp;EMA001-072.dwg</t>
  </si>
  <si>
    <t>HOW01=Z11AAD03WA001&amp;EMA001-073.dwg</t>
  </si>
  <si>
    <t>HOW01=Z11AAD03WA001&amp;EMA001-074.dwg</t>
  </si>
  <si>
    <t>HOW01=Z11AAD03WA001&amp;EMA001-075.dwg</t>
  </si>
  <si>
    <t>HOW01=Z11AAD03WA001&amp;EMA001-076.dwg</t>
  </si>
  <si>
    <t>HOW01=Z11AAD03WA001&amp;EMA001-077.dwg</t>
  </si>
  <si>
    <t>HOW01=Z11AAD03WA001&amp;EMA001-078.dwg</t>
  </si>
  <si>
    <t>HOW01=Z11AAD03WA001&amp;EMA001-079.dwg</t>
  </si>
  <si>
    <t>HOW01=Z11AAD03WA001&amp;EMA001-080.dwg</t>
  </si>
  <si>
    <t>HOW01=Z11AAD03WA001&amp;EMA001-081.dwg</t>
  </si>
  <si>
    <t>HOW01=Z11AAD03WA001&amp;EMA001-082.dwg</t>
  </si>
  <si>
    <t>HOW01=Z11AAD03WA001&amp;EMA001-083.dwg</t>
  </si>
  <si>
    <t>HOW01=Z11AAD03WA001&amp;EMA001-084.dwg</t>
  </si>
  <si>
    <t>HOW01=Z11AAD03WA001&amp;EMA001-085.dwg</t>
  </si>
  <si>
    <t>HOW01=Z11AAD03WA001&amp;EMA001-086.dwg</t>
  </si>
  <si>
    <t>HOW01=Z11AAD03WA001&amp;EMA001-087.dwg</t>
  </si>
  <si>
    <t>HOW01=Z11AAD03WA001&amp;EMA001-088.dwg</t>
  </si>
  <si>
    <t>HOW01=Z11AAD03WA001&amp;EMA001-089.dwg</t>
  </si>
  <si>
    <t>HOW01=Z11AAD03WA001&amp;EMA001-090.dwg</t>
  </si>
  <si>
    <t>HOW01=Z11AAD03WA001&amp;EMA001-091.dwg</t>
  </si>
  <si>
    <t>HOW01=Z11AAD03WA001&amp;EMA001-092.dwg</t>
  </si>
  <si>
    <t>HOW01=Z11AAD03WA001&amp;EMA001-093.dwg</t>
  </si>
  <si>
    <t>HOW01=Z11AAD03WA001&amp;EMA001-094.dwg</t>
  </si>
  <si>
    <t>HOW01=Z11AAD03WA001&amp;EMA001-095.dwg</t>
  </si>
  <si>
    <t>HOW01=Z11AAD03WA001&amp;EMA001-096.dwg</t>
  </si>
  <si>
    <t>HOW01=Z11AAD03WA001&amp;EMA001-097.dwg</t>
  </si>
  <si>
    <t>HOW01=Z11AAD03WA001&amp;EMA001-098.dwg</t>
  </si>
  <si>
    <t>HOW01=Z11AAD03WA001&amp;EMA001-099.dwg</t>
  </si>
  <si>
    <t>HOW01=Z11AAD03WA001&amp;EMA001-100.dwg</t>
  </si>
  <si>
    <t>HOW01=Z11AAD03WA001&amp;EMA001-101.dwg</t>
  </si>
  <si>
    <t>HOW01=Z11AAD03WA001&amp;EMA001-102.dwg</t>
  </si>
  <si>
    <t>HOW01=Z11AAD03WA001&amp;EMA001-103.dwg</t>
  </si>
  <si>
    <t>HOW01=Z11AAD03WA001&amp;EMA001-104.dwg</t>
  </si>
  <si>
    <t>HOW01=Z11AAD03WA001&amp;EMA001-105.dwg</t>
  </si>
  <si>
    <t>HOW01=Z11AAD03WA001&amp;EMA001-106.dwg</t>
  </si>
  <si>
    <t>HOW01=Z11AAD03WA001&amp;EMA001-107.dwg</t>
  </si>
  <si>
    <t>HOW01=Z11AAD03WA001&amp;EMA001-108.dwg</t>
  </si>
  <si>
    <t>HOW01=Z11AAD03WA001&amp;EMA001-109.dwg</t>
  </si>
  <si>
    <t>HOW01=Z11AAD03WA001&amp;EMA001-110.dwg</t>
  </si>
  <si>
    <t>HOW01=Z11AAD03WA001&amp;EMA001-111.dwg</t>
  </si>
  <si>
    <t>HOW01=Z11AAD03WA001&amp;EMA001-112.dwg</t>
  </si>
  <si>
    <t>HOW01=Z11AAD03WA001&amp;EMA001-113.dwg</t>
  </si>
  <si>
    <t>HOW01=Z11AAD03WA001&amp;EMA001-114.dwg</t>
  </si>
  <si>
    <t>HOW01=Z11AAD03WA001&amp;EMA001-115.dwg</t>
  </si>
  <si>
    <t>HOW01=Z11AAD03WA001&amp;EMA001-116.dwg</t>
  </si>
  <si>
    <t>HOW01=Z11AAD03WA001&amp;EMA001-117.dwg</t>
  </si>
  <si>
    <t>HOW01=Z11AAD03WA001&amp;EMA001-118.dwg</t>
  </si>
  <si>
    <t>HOW01=Z11AAD03WA001&amp;EMA001-119.dwg</t>
  </si>
  <si>
    <t>HOW01=Z11AAD03WA001&amp;EMA001-120.dwg</t>
  </si>
  <si>
    <t>HOW01=Z11AAD03WA001&amp;EMA001-121.dwg</t>
  </si>
  <si>
    <t>HOW01=Z11AAD03WA001&amp;EMA001-122.dwg</t>
  </si>
  <si>
    <t>HOW01=Z11AAD03WA001&amp;EMA001-123.dwg</t>
  </si>
  <si>
    <t>HOW01=Z11AAD03WA001&amp;EMA001-124.dwg</t>
  </si>
  <si>
    <t>HOW01=Z11AAD03WA001&amp;EMA001-125.dwg</t>
  </si>
  <si>
    <t>HOW01=Z11AAD03WA001&amp;EMA001-126.dwg</t>
  </si>
  <si>
    <t>HOW01=Z11AAD03WA001&amp;EMA001-127.dwg</t>
  </si>
  <si>
    <t>HOW01=Z11AAD03WA001&amp;EMA001-128.dwg</t>
  </si>
  <si>
    <t>HOW01=Z11AAD03WA001&amp;EMA001-129.dwg</t>
  </si>
  <si>
    <t>HOW01=Z11AAD03WA001&amp;EMA001-130.dwg</t>
  </si>
  <si>
    <t>HOW01=Z11AAD03WA001&amp;EMA001-131.dwg</t>
  </si>
  <si>
    <t>HOW01=Z11AAD03WA001&amp;EMA001-132.dwg</t>
  </si>
  <si>
    <t>HOW01=Z11AAD03WA001&amp;EMA001-133.dwg</t>
  </si>
  <si>
    <t>HOW01=Z11AAD03WA001&amp;EMA001-134.dwg</t>
  </si>
  <si>
    <t>HOW01=Z11AAD03WA001&amp;EMA001-135.dwg</t>
  </si>
  <si>
    <t>HOW01=Z11AAD03WA001&amp;EMA001-136.dwg</t>
  </si>
  <si>
    <t>HOW01=Z11AAD03WA001&amp;EMA001-137.dwg</t>
  </si>
  <si>
    <t>HOW01=Z11AAD03WA001&amp;EMA001-138.dwg</t>
  </si>
  <si>
    <t>HOW01=Z11AAD03WA001&amp;EMA001-139.dwg</t>
  </si>
  <si>
    <t>HOW01=Z11AAD03WA001&amp;EMA001-140.dwg</t>
  </si>
  <si>
    <t>HOW01=Z11AAD03WA001&amp;EMA001-141.dwg</t>
  </si>
  <si>
    <t>HOW01=Z11AAD03WA001&amp;EMA001-142.dwg</t>
  </si>
  <si>
    <t>HOW01=Z11AAD03WA001&amp;EMA001-143.dwg</t>
  </si>
  <si>
    <t>HOW01=Z11AAD03WA001&amp;EMA001-144.dwg</t>
  </si>
  <si>
    <t>HOW01=Z11AAD03WA001&amp;EMA001-145.dwg</t>
  </si>
  <si>
    <t>HOW01=Z11AAD03WA001&amp;EMA001-146.dwg</t>
  </si>
  <si>
    <t>HOW01=Z11AAD03WA001&amp;EMA001-147.dwg</t>
  </si>
  <si>
    <t>HOW01=Z11AAD03WA001&amp;EMA001-148.dwg</t>
  </si>
  <si>
    <t>HOW01=Z11AAD03WA001&amp;EMA001-149.dwg</t>
  </si>
  <si>
    <t>HOW01=Z11AAD03WA001&amp;EMA001-150.dwg</t>
  </si>
  <si>
    <t>01_04</t>
  </si>
  <si>
    <t>HOW01=Z11AAD04WA001&amp;EMA001.pdf</t>
  </si>
  <si>
    <t>HOW01=Z11AAD04WA001&amp;EMA001-001.dwg</t>
  </si>
  <si>
    <t>HOW01=Z11AAD04WA001&amp;EMA001-002.dwg</t>
  </si>
  <si>
    <t>HOW01=Z11AAD04WA001&amp;EMA001-003.dwg</t>
  </si>
  <si>
    <t>HOW01=Z11AAD04WA001&amp;EMA001-004.dwg</t>
  </si>
  <si>
    <t>HOW01=Z11AAD04WA001&amp;EMA001-005.dwg</t>
  </si>
  <si>
    <t>HOW01=Z11AAD04WA001&amp;EMA001-006.dwg</t>
  </si>
  <si>
    <t>HOW01=Z11AAD04WA001&amp;EMA001-007.dwg</t>
  </si>
  <si>
    <t>HOW01=Z11AAD04WA001&amp;EMA001-008.dwg</t>
  </si>
  <si>
    <t>HOW01=Z11AAD04WA001&amp;EMA001-009.dwg</t>
  </si>
  <si>
    <t>HOW01=Z11AAD04WA001&amp;EMA001-010.dwg</t>
  </si>
  <si>
    <t>HOW01=Z11AAD04WA001&amp;EMA001-011.dwg</t>
  </si>
  <si>
    <t>HOW01=Z11AAD04WA001&amp;EMA001-012.dwg</t>
  </si>
  <si>
    <t>HOW01=Z11AAD04WA001&amp;EMA001-013.dwg</t>
  </si>
  <si>
    <t>HOW01=Z11AAD04WA001&amp;EMA001-014.dwg</t>
  </si>
  <si>
    <t>HOW01=Z11AAD04WA001&amp;EMA001-015.dwg</t>
  </si>
  <si>
    <t>HOW01=Z11AAD04WA001&amp;EMA001-016.dwg</t>
  </si>
  <si>
    <t>HOW01=Z11AAD04WA001&amp;EMA001-017.dwg</t>
  </si>
  <si>
    <t>HOW01=Z11AAD04WA001&amp;EMA001-018.dwg</t>
  </si>
  <si>
    <t>HOW01=Z11AAD04WA001&amp;EMA001-019.dwg</t>
  </si>
  <si>
    <t>HOW01=Z11AAD04WA001&amp;EMA001-020.dwg</t>
  </si>
  <si>
    <t>HOW01=Z11AAD04WA001&amp;EMA001-021.dwg</t>
  </si>
  <si>
    <t>HOW01=Z11AAD04WA001&amp;EMA001-022.dwg</t>
  </si>
  <si>
    <t>HOW01=Z11AAD04WA001&amp;EMA001-023.dwg</t>
  </si>
  <si>
    <t>HOW01=Z11AAD04WA001&amp;EMA001-024.dwg</t>
  </si>
  <si>
    <t>HOW01=Z11AAD04WA001&amp;EMA001-025.dwg</t>
  </si>
  <si>
    <t>HOW01=Z11AAD04WA001&amp;EMA001-026.dwg</t>
  </si>
  <si>
    <t>HOW01=Z11AAD04WA001&amp;EMA001-027.dwg</t>
  </si>
  <si>
    <t>HOW01=Z11AAD04WA001&amp;EMA001-028.dwg</t>
  </si>
  <si>
    <t>HOW01=Z11AAD04WA001&amp;EMA001-029.dwg</t>
  </si>
  <si>
    <t>HOW01=Z11AAD04WA001&amp;EMA001-030.dwg</t>
  </si>
  <si>
    <t>HOW01=Z11AAD04WA001&amp;EMA001-031.dwg</t>
  </si>
  <si>
    <t>HOW01=Z11AAD04WA001&amp;EMA001-032.dwg</t>
  </si>
  <si>
    <t>HOW01=Z11AAD04WA001&amp;EMA001-033.dwg</t>
  </si>
  <si>
    <t>HOW01=Z11AAD04WA001&amp;EMA001-034.dwg</t>
  </si>
  <si>
    <t>HOW01=Z11AAD04WA001&amp;EMA001-035.dwg</t>
  </si>
  <si>
    <t>HOW01=Z11AAD04WA001&amp;EMA001-036.dwg</t>
  </si>
  <si>
    <t>HOW01=Z11AAD04WA001&amp;EMA001-037.dwg</t>
  </si>
  <si>
    <t>HOW01=Z11AAD04WA001&amp;EMA001-038.dwg</t>
  </si>
  <si>
    <t>HOW01=Z11AAD04WA001&amp;EMA001-039.dwg</t>
  </si>
  <si>
    <t>HOW01=Z11AAD04WA001&amp;EMA001-040.dwg</t>
  </si>
  <si>
    <t>HOW01=Z11AAD04WA001&amp;EMA001-041.dwg</t>
  </si>
  <si>
    <t>HOW01=Z11AAD04WA001&amp;EMA001-042.dwg</t>
  </si>
  <si>
    <t>HOW01=Z11AAD04WA001&amp;EMA001-043.dwg</t>
  </si>
  <si>
    <t>HOW01=Z11AAD04WA001&amp;EMA001-044.dwg</t>
  </si>
  <si>
    <t>HOW01=Z11AAD04WA001&amp;EMA001-045.dwg</t>
  </si>
  <si>
    <t>HOW01=Z11AAD04WA001&amp;EMA001-046.dwg</t>
  </si>
  <si>
    <t>HOW01=Z11AAD04WA001&amp;EMA001-047.dwg</t>
  </si>
  <si>
    <t>HOW01=Z11AAD04WA001&amp;EMA001-048.dwg</t>
  </si>
  <si>
    <t>HOW01=Z11AAD04WA001&amp;EMA001-049.dwg</t>
  </si>
  <si>
    <t>HOW01=Z11AAD04WA001&amp;EMA001-050.dwg</t>
  </si>
  <si>
    <t>HOW01=Z11AAD04WA001&amp;EMA001-051.dwg</t>
  </si>
  <si>
    <t>HOW01=Z11AAD04WA001&amp;EMA001-052.dwg</t>
  </si>
  <si>
    <t>HOW01=Z11AAD04WA001&amp;EMA001-053.dwg</t>
  </si>
  <si>
    <t>HOW01=Z11AAD04WA001&amp;EMA001-054.dwg</t>
  </si>
  <si>
    <t>HOW01=Z11AAD04WA001&amp;EMA001-055.dwg</t>
  </si>
  <si>
    <t>HOW01=Z11AAD04WA001&amp;EMA001-056.dwg</t>
  </si>
  <si>
    <t>HOW01=Z11AAD04WA001&amp;EMA001-057.dwg</t>
  </si>
  <si>
    <t>HOW01=Z11AAD04WA001&amp;EMA001-058.dwg</t>
  </si>
  <si>
    <t>HOW01=Z11AAD04WA001&amp;EMA001-059.dwg</t>
  </si>
  <si>
    <t>HOW01=Z11AAD04WA001&amp;EMA001-060.dwg</t>
  </si>
  <si>
    <t>HOW01=Z11AAD04WA001&amp;EMA001-061.dwg</t>
  </si>
  <si>
    <t>HOW01=Z11AAD04WA001&amp;EMA001-062.dwg</t>
  </si>
  <si>
    <t>HOW01=Z11AAD04WA001&amp;EMA001-063.dwg</t>
  </si>
  <si>
    <t>HOW01=Z11AAD04WA001&amp;EMA001-064.dwg</t>
  </si>
  <si>
    <t>HOW01=Z11AAD04WA001&amp;EMA001-065.dwg</t>
  </si>
  <si>
    <t>HOW01=Z11AAD04WA001&amp;EMA001-066.dwg</t>
  </si>
  <si>
    <t>HOW01=Z11AAD04WA001&amp;EMA001-067.dwg</t>
  </si>
  <si>
    <t>HOW01=Z11AAD04WA001&amp;EMA001-068.dwg</t>
  </si>
  <si>
    <t>HOW01=Z11AAD04WA001&amp;EMA001-069.dwg</t>
  </si>
  <si>
    <t>HOW01=Z11AAD04WA001&amp;EMA001-070.dwg</t>
  </si>
  <si>
    <t>HOW01=Z11AAD04WA001&amp;EMA001-071.dwg</t>
  </si>
  <si>
    <t>HOW01=Z11AAD04WA001&amp;EMA001-072.dwg</t>
  </si>
  <si>
    <t>HOW01=Z11AAD04WA001&amp;EMA001-073.dwg</t>
  </si>
  <si>
    <t>HOW01=Z11AAD04WA001&amp;EMA001-074.dwg</t>
  </si>
  <si>
    <t>HOW01=Z11AAD04WA001&amp;EMA001-075.dwg</t>
  </si>
  <si>
    <t>HOW01=Z11AAD04WA001&amp;EMA001-076.dwg</t>
  </si>
  <si>
    <t>HOW01=Z11AAD04WA001&amp;EMA001-077.dwg</t>
  </si>
  <si>
    <t>HOW01=Z11AAD04WA001&amp;EMA001-078.dwg</t>
  </si>
  <si>
    <t>HOW01=Z11AAD04WA001&amp;EMA001-079.dwg</t>
  </si>
  <si>
    <t>HOW01=Z11AAD04WA001&amp;EMA001-080.dwg</t>
  </si>
  <si>
    <t>HOW01=Z11AAD04WA001&amp;EMA001-081.dwg</t>
  </si>
  <si>
    <t>HOW01=Z11AAD04WA001&amp;EMA001-082.dwg</t>
  </si>
  <si>
    <t>HOW01=Z11AAD04WA001&amp;EMA001-083.dwg</t>
  </si>
  <si>
    <t>HOW01=Z11AAD04WA001&amp;EMA001-084.dwg</t>
  </si>
  <si>
    <t>HOW01=Z11AAD04WA001&amp;EMA001-085.dwg</t>
  </si>
  <si>
    <t>HOW01=Z11AAD04WA001&amp;EMA001-086.dwg</t>
  </si>
  <si>
    <t>HOW01=Z11AAD04WA001&amp;EMA001-087.dwg</t>
  </si>
  <si>
    <t>HOW01=Z11AAD04WA001&amp;EMA001-088.dwg</t>
  </si>
  <si>
    <t>HOW01=Z11AAD04WA001&amp;EMA001-089.dwg</t>
  </si>
  <si>
    <t>HOW01=Z11AAD04WA001&amp;EMA001-090.dwg</t>
  </si>
  <si>
    <t>HOW01=Z11AAD04WA001&amp;EMA001-091.dwg</t>
  </si>
  <si>
    <t>HOW01=Z11AAD04WA001&amp;EMA001-092.dwg</t>
  </si>
  <si>
    <t>HOW01=Z11AAD04WA001&amp;EMA001-093.dwg</t>
  </si>
  <si>
    <t>HOW01=Z11AAD04WA001&amp;EMA001-094.dwg</t>
  </si>
  <si>
    <t>HOW01=Z11AAD04WA001&amp;EMA001-095.dwg</t>
  </si>
  <si>
    <t>HOW01=Z11AAD04WA001&amp;EMA001-096.dwg</t>
  </si>
  <si>
    <t>HOW01=Z11AAD04WA001&amp;EMA001-097.dwg</t>
  </si>
  <si>
    <t>HOW01=Z11AAD04WA001&amp;EMA001-098.dwg</t>
  </si>
  <si>
    <t>HOW01=Z11AAD04WA001&amp;EMA001-099.dwg</t>
  </si>
  <si>
    <t>HOW01=Z11AAD04WA001&amp;EMA001-100.dwg</t>
  </si>
  <si>
    <t>HOW01=Z11AAD04WA001&amp;EMA001-101.dwg</t>
  </si>
  <si>
    <t>HOW01=Z11AAD04WA001&amp;EMA001-102.dwg</t>
  </si>
  <si>
    <t>HOW01=Z11AAD04WA001&amp;EMA001-103.dwg</t>
  </si>
  <si>
    <t>HOW01=Z11AAD04WA001&amp;EMA001-104.dwg</t>
  </si>
  <si>
    <t>HOW01=Z11AAD04WA001&amp;EMA001-105.dwg</t>
  </si>
  <si>
    <t>HOW01=Z11AAD04WA001&amp;EMA001-106.dwg</t>
  </si>
  <si>
    <t>HOW01=Z11AAD04WA001&amp;EMA001-107.dwg</t>
  </si>
  <si>
    <t>HOW01=Z11AAD04WA001&amp;EMA001-108.dwg</t>
  </si>
  <si>
    <t>HOW01=Z11AAD04WA001&amp;EMA001-109.dwg</t>
  </si>
  <si>
    <t>HOW01=Z11AAD04WA001&amp;EMA001-110.dwg</t>
  </si>
  <si>
    <t>HOW01=Z11AAD04WA001&amp;EMA001-111.dwg</t>
  </si>
  <si>
    <t>HOW01=Z11AAD04WA001&amp;EMA001-112.dwg</t>
  </si>
  <si>
    <t>HOW01=Z11AAD04WA001&amp;EMA001-113.dwg</t>
  </si>
  <si>
    <t>HOW01=Z11AAD04WA001&amp;EMA001-114.dwg</t>
  </si>
  <si>
    <t>HOW01=Z11AAD04WA001&amp;EMA001-115.dwg</t>
  </si>
  <si>
    <t>HOW01=Z11AAD04WA001&amp;EMA001-116.dwg</t>
  </si>
  <si>
    <t>HOW01=Z11AAD04WA001&amp;EMA001-117.dwg</t>
  </si>
  <si>
    <t>HOW01=Z11AAD04WA001&amp;EMA001-118.dwg</t>
  </si>
  <si>
    <t>HOW01=Z11AAD04WA001&amp;EMA001-119.dwg</t>
  </si>
  <si>
    <t>HOW01=Z11AAD04WA001&amp;EMA001-120.dwg</t>
  </si>
  <si>
    <t>HOW01=Z11AAD04WA001&amp;EMA001-121.dwg</t>
  </si>
  <si>
    <t>HOW01=Z11AAD04WA001&amp;EMA001-122.dwg</t>
  </si>
  <si>
    <t>HOW01=Z11AAD04WA001&amp;EMA001-123.dwg</t>
  </si>
  <si>
    <t>HOW01=Z11AAD04WA001&amp;EMA001-124.dwg</t>
  </si>
  <si>
    <t>HOW01=Z11AAD04WA001&amp;EMA001-125.dwg</t>
  </si>
  <si>
    <t>HOW01=Z11AAD04WA001&amp;EMA001-127.dwg</t>
  </si>
  <si>
    <t>HOW01=Z11AAD04WA001&amp;EMA001-128.dwg</t>
  </si>
  <si>
    <t>HOW01=Z11AAD04WA001&amp;EMA001-129.dwg</t>
  </si>
  <si>
    <t>02_01</t>
  </si>
  <si>
    <t>HOW01=Z11AAD01&amp;EFF001.pdf</t>
  </si>
  <si>
    <t>02_02</t>
  </si>
  <si>
    <t>HOW01=Z11AAD02&amp;EFF001.pdf</t>
  </si>
  <si>
    <t>02_03</t>
  </si>
  <si>
    <t>HOW01=Z11AAD03&amp;EFF001.pdf</t>
  </si>
  <si>
    <t>02_04</t>
  </si>
  <si>
    <t>HOW01=Z11AAD04&amp;EFF001.pdf</t>
  </si>
  <si>
    <t>HOW01=Z11AAD&amp;EED003.pdf</t>
  </si>
  <si>
    <t>HOW01=Z11AAD&amp;EFE001.pdf</t>
  </si>
  <si>
    <t>HOW01=Z11AAD&amp;EFE002.pdf</t>
  </si>
  <si>
    <t>HOW01=Z11AAD&amp;EFE003.7z</t>
  </si>
  <si>
    <t>HOW01=Z11AAD&amp;EFE003.pdf</t>
  </si>
  <si>
    <t>HOW01=Z11AAD&amp;EFE004.pdf</t>
  </si>
  <si>
    <t>HOW01=Z11AAD&amp;EFE005.7z</t>
  </si>
  <si>
    <t>HOW01=Z11AAD&amp;EFE005.pdf</t>
  </si>
  <si>
    <t>HOW01=Z11AAD&amp;EFS001.pdf</t>
  </si>
  <si>
    <t>HOW01=Z11AAD&amp;EFS002.pdf</t>
  </si>
  <si>
    <t>HOW01=Z11AAD&amp;EFS003.pdf</t>
  </si>
  <si>
    <t>HOW01=Z11AAD&amp;EFS004.pdf</t>
  </si>
  <si>
    <t>HOW01=Z11AAD&amp;EFS005.pdf</t>
  </si>
  <si>
    <t>HOW01=Z11AAD&amp;EFS006.pdf</t>
  </si>
  <si>
    <t>HOW01=Z11AAD&amp;EFS007.pdf</t>
  </si>
  <si>
    <t>HOW01=Z11AAD&amp;EFS008.pdf</t>
  </si>
  <si>
    <t>HOW01=Z11AAD&amp;EFS009.pdf</t>
  </si>
  <si>
    <t>HOW01=Z11AAD&amp;EFS010.pdf</t>
  </si>
  <si>
    <t>HOW01=Z11AAD01WA001&amp;EFS001.pdf</t>
  </si>
  <si>
    <t>HOW01=Z11AAD01WA001&amp;EFS002.pdf</t>
  </si>
  <si>
    <t>DISPATCH SPECIFICATION</t>
  </si>
  <si>
    <t>LOADS REPORT</t>
  </si>
  <si>
    <t>ARRANGEMENT DRAWING</t>
  </si>
  <si>
    <t>DATA SHEET</t>
  </si>
  <si>
    <t>AAD       &amp;CLC001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</si>
</sst>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0"/>
      <name val="Arial"/>
    </font>
    <font>
      <sz val="10"/>
      <color theme="1"/>
      <name val="Arial"/>
      <family val="2"/>
    </font>
    <font>
      <sz val="8"/>
      <name val="Arial"/>
      <family val="2"/>
    </font>
    <font>
      <b/>
      <sz val="8"/>
      <name val="Arial"/>
      <family val="2"/>
    </font>
    <font>
      <sz val="9"/>
      <color indexed="81"/>
      <name val="Tahoma"/>
      <family val="2"/>
    </font>
    <font>
      <sz val="10"/>
      <name val="Arial"/>
      <family val="2"/>
    </font>
    <font>
      <b/>
      <sz val="12"/>
      <name val="Arial"/>
      <family val="2"/>
    </font>
    <font>
      <b/>
      <sz val="10"/>
      <name val="Arial"/>
      <family val="2"/>
    </font>
    <font>
      <b/>
      <sz val="9"/>
      <color indexed="81"/>
      <name val="Tahoma"/>
      <family val="2"/>
    </font>
    <font>
      <sz val="10"/>
      <color theme="6" tint="-0.249977111117893"/>
      <name val="Arial"/>
      <family val="2"/>
    </font>
    <font>
      <b/>
      <sz val="8"/>
      <color theme="8" tint="-0.249977111117893"/>
      <name val="Arial"/>
      <family val="2"/>
    </font>
    <font>
      <b/>
      <sz val="8"/>
      <color theme="6" tint="-0.249977111117893"/>
      <name val="Arial"/>
      <family val="2"/>
    </font>
    <font>
      <sz val="8"/>
      <color theme="6" tint="-0.249977111117893"/>
      <name val="Arial"/>
      <family val="2"/>
    </font>
    <font>
      <sz val="9"/>
      <color theme="1"/>
      <name val="Verdana"/>
      <family val="2"/>
    </font>
    <font>
      <b/>
      <sz val="9"/>
      <color theme="1"/>
      <name val="Verdana"/>
      <family val="2"/>
    </font>
    <font>
      <b/>
      <sz val="10"/>
      <color indexed="8"/>
      <name val="Arial"/>
      <family val="2"/>
    </font>
    <font>
      <u/>
      <sz val="10"/>
      <color theme="10"/>
      <name val="Arial"/>
      <family val="2"/>
    </font>
    <font>
      <sz val="9"/>
      <name val="Arial"/>
      <family val="2"/>
    </font>
  </fonts>
  <fills count="3">
    <fill>
      <patternFill patternType="none"/>
    </fill>
    <fill>
      <patternFill patternType="gray125"/>
    </fill>
    <fill>
      <patternFill patternType="solid">
        <fgColor rgb="FFA9A9A9"/>
      </patternFill>
    </fill>
  </fills>
  <borders count="15">
    <border>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3" fillId="0" borderId="0"/>
    <xf numFmtId="0" fontId="5" fillId="0" borderId="0"/>
    <xf numFmtId="0" fontId="5" fillId="0" borderId="0"/>
    <xf numFmtId="0" fontId="1" fillId="0" borderId="0"/>
    <xf numFmtId="0" fontId="16" fillId="0" borderId="0" applyNumberFormat="0" applyFill="0" applyBorder="0" applyAlignment="0" applyProtection="0"/>
  </cellStyleXfs>
  <cellXfs count="68">
    <xf numFmtId="0" fontId="0" fillId="0" borderId="0" xfId="0"/>
    <xf numFmtId="0" fontId="2" fillId="0" borderId="0" xfId="0" applyFont="1" applyBorder="1"/>
    <xf numFmtId="0" fontId="2" fillId="0" borderId="0" xfId="0" applyFont="1"/>
    <xf numFmtId="0" fontId="3" fillId="0" borderId="0" xfId="0" applyFont="1" applyBorder="1"/>
    <xf numFmtId="0" fontId="3" fillId="0" borderId="0" xfId="0" applyFont="1"/>
    <xf numFmtId="0" fontId="5" fillId="0" borderId="0" xfId="0" applyFont="1"/>
    <xf numFmtId="0" fontId="5" fillId="0" borderId="0" xfId="0" applyFont="1" applyAlignment="1">
      <alignment horizontal="center"/>
    </xf>
    <xf numFmtId="0" fontId="5" fillId="0" borderId="0" xfId="0" applyFont="1" applyFill="1" applyBorder="1"/>
    <xf numFmtId="0" fontId="5" fillId="0" borderId="0" xfId="0" applyFont="1" applyBorder="1"/>
    <xf numFmtId="0" fontId="2" fillId="0" borderId="1" xfId="0" applyFont="1" applyBorder="1"/>
    <xf numFmtId="0" fontId="3" fillId="0" borderId="0" xfId="0" applyFont="1" applyFill="1" applyBorder="1" applyAlignment="1"/>
    <xf numFmtId="0" fontId="3" fillId="0" borderId="0" xfId="0" applyFont="1" applyBorder="1" applyAlignment="1"/>
    <xf numFmtId="0" fontId="9" fillId="0" borderId="0" xfId="0" applyFont="1" applyAlignment="1">
      <alignment horizontal="center"/>
    </xf>
    <xf numFmtId="0" fontId="10" fillId="0" borderId="2" xfId="0" applyFont="1" applyBorder="1" applyAlignment="1"/>
    <xf numFmtId="0" fontId="10" fillId="0" borderId="3" xfId="0" applyFont="1" applyBorder="1"/>
    <xf numFmtId="0" fontId="2" fillId="0" borderId="4" xfId="0" applyFont="1" applyBorder="1"/>
    <xf numFmtId="0" fontId="3" fillId="0" borderId="5" xfId="0" applyFont="1" applyBorder="1"/>
    <xf numFmtId="0" fontId="11" fillId="0" borderId="6" xfId="0" applyFont="1" applyBorder="1"/>
    <xf numFmtId="0" fontId="11" fillId="0" borderId="7" xfId="0" applyFont="1" applyBorder="1"/>
    <xf numFmtId="0" fontId="12" fillId="0" borderId="8" xfId="0" applyFont="1" applyBorder="1"/>
    <xf numFmtId="0" fontId="10" fillId="0" borderId="2" xfId="0" applyFont="1" applyBorder="1"/>
    <xf numFmtId="0" fontId="2" fillId="0" borderId="8" xfId="0" applyFont="1" applyBorder="1"/>
    <xf numFmtId="0" fontId="6" fillId="0" borderId="0" xfId="0" applyFont="1"/>
    <xf numFmtId="0" fontId="7" fillId="0" borderId="0" xfId="0" applyFont="1"/>
    <xf numFmtId="0" fontId="2" fillId="0" borderId="4" xfId="0" applyFont="1" applyBorder="1" applyAlignment="1">
      <alignment horizontal="left"/>
    </xf>
    <xf numFmtId="49" fontId="5" fillId="0" borderId="0" xfId="0" applyNumberFormat="1" applyFont="1" applyBorder="1" applyAlignment="1">
      <alignment horizontal="center"/>
    </xf>
    <xf numFmtId="49" fontId="0" fillId="0" borderId="0" xfId="0" applyNumberFormat="1"/>
    <xf numFmtId="49" fontId="5" fillId="0" borderId="0" xfId="0" applyNumberFormat="1" applyFont="1" applyFill="1" applyBorder="1"/>
    <xf numFmtId="49" fontId="3" fillId="0" borderId="0" xfId="0" applyNumberFormat="1" applyFont="1" applyBorder="1" applyAlignment="1"/>
    <xf numFmtId="49" fontId="5" fillId="0" borderId="0" xfId="0" applyNumberFormat="1" applyFont="1"/>
    <xf numFmtId="49" fontId="10" fillId="0" borderId="2" xfId="0" applyNumberFormat="1" applyFont="1" applyBorder="1"/>
    <xf numFmtId="49" fontId="3" fillId="0" borderId="5" xfId="0" applyNumberFormat="1" applyFont="1" applyBorder="1"/>
    <xf numFmtId="49" fontId="11" fillId="0" borderId="6" xfId="0" applyNumberFormat="1" applyFont="1" applyBorder="1"/>
    <xf numFmtId="49" fontId="10" fillId="0" borderId="9" xfId="0" applyNumberFormat="1" applyFont="1" applyBorder="1" applyAlignment="1"/>
    <xf numFmtId="0" fontId="10" fillId="0" borderId="9" xfId="0" applyFont="1" applyBorder="1" applyAlignment="1"/>
    <xf numFmtId="0" fontId="5" fillId="0" borderId="0" xfId="0" applyFont="1" applyBorder="1" applyAlignment="1">
      <alignment horizontal="center"/>
    </xf>
    <xf numFmtId="0" fontId="10" fillId="0" borderId="9" xfId="0" applyFont="1" applyFill="1" applyBorder="1" applyAlignment="1"/>
    <xf numFmtId="0" fontId="10" fillId="0" borderId="10" xfId="0" applyFont="1" applyFill="1" applyBorder="1" applyAlignment="1"/>
    <xf numFmtId="0" fontId="3" fillId="0" borderId="11" xfId="0" applyFont="1" applyFill="1" applyBorder="1" applyAlignment="1"/>
    <xf numFmtId="0" fontId="10" fillId="0" borderId="12" xfId="0" applyFont="1" applyBorder="1" applyAlignment="1"/>
    <xf numFmtId="0" fontId="3" fillId="0" borderId="13" xfId="0" applyFont="1" applyBorder="1" applyAlignment="1"/>
    <xf numFmtId="0" fontId="14" fillId="0" borderId="0" xfId="1" applyFont="1"/>
    <xf numFmtId="0" fontId="13" fillId="0" borderId="0" xfId="1"/>
    <xf numFmtId="0" fontId="15" fillId="2" borderId="14" xfId="1" applyFont="1" applyFill="1" applyBorder="1" applyAlignment="1">
      <alignment horizontal="left" vertical="center"/>
    </xf>
    <xf numFmtId="0" fontId="16" fillId="0" borderId="0" xfId="5"/>
    <xf numFmtId="0" fontId="0" fillId="0" borderId="0" xfId="0" applyFill="1"/>
    <xf numFmtId="0" fontId="11" fillId="0" borderId="0" xfId="0" applyFont="1" applyFill="1" applyBorder="1" applyAlignment="1"/>
    <xf numFmtId="0" fontId="11" fillId="0" borderId="0" xfId="0" applyFont="1" applyBorder="1" applyAlignment="1"/>
    <xf numFmtId="0" fontId="17" fillId="0" borderId="0" xfId="0" quotePrefix="1" applyFont="1" applyBorder="1"/>
    <xf numFmtId="0" fontId="17" fillId="0" borderId="0" xfId="0" applyFont="1" applyBorder="1"/>
    <xf numFmtId="0" fontId="17" fillId="0" borderId="0" xfId="0" applyFont="1" applyBorder="1" applyAlignment="1">
      <alignment horizontal="left"/>
    </xf>
    <xf numFmtId="49" fontId="17" fillId="0" borderId="0" xfId="0" applyNumberFormat="1" applyFont="1" applyBorder="1" applyAlignment="1">
      <alignment horizontal="center"/>
    </xf>
    <xf numFmtId="0" fontId="17" fillId="0" borderId="0" xfId="0" applyFont="1" applyBorder="1" applyAlignment="1">
      <alignment horizontal="center" vertical="center"/>
    </xf>
    <xf numFmtId="0" fontId="17" fillId="0" borderId="0" xfId="0" applyFont="1" applyBorder="1" applyAlignment="1">
      <alignment vertical="center"/>
    </xf>
    <xf numFmtId="0" fontId="17" fillId="0" borderId="0" xfId="0" applyFont="1" applyFill="1" applyBorder="1"/>
    <xf numFmtId="0" fontId="17" fillId="0" borderId="0" xfId="2" applyFont="1" applyBorder="1" applyAlignment="1">
      <alignment horizontal="left"/>
    </xf>
    <xf numFmtId="0" fontId="17" fillId="0" borderId="0" xfId="0" applyFont="1" applyFill="1" applyBorder="1" applyAlignment="1">
      <alignment horizontal="left"/>
    </xf>
    <xf numFmtId="0" fontId="17" fillId="0" borderId="0" xfId="0" applyNumberFormat="1" applyFont="1" applyBorder="1" applyAlignment="1">
      <alignment horizontal="center"/>
    </xf>
    <xf numFmtId="49" fontId="17" fillId="0" borderId="0" xfId="0" applyNumberFormat="1" applyFont="1" applyFill="1" applyBorder="1" applyAlignment="1">
      <alignment horizontal="center"/>
    </xf>
    <xf numFmtId="0" fontId="17" fillId="0" borderId="0" xfId="0" applyFont="1" applyFill="1" applyBorder="1" applyAlignment="1">
      <alignment horizontal="center" vertical="center"/>
    </xf>
    <xf numFmtId="49" fontId="17" fillId="0" borderId="0" xfId="0" applyNumberFormat="1" applyFont="1" applyBorder="1"/>
    <xf numFmtId="49" fontId="17" fillId="0" borderId="0" xfId="0" applyNumberFormat="1" applyFont="1" applyFill="1" applyBorder="1" applyAlignment="1">
      <alignment wrapText="1"/>
    </xf>
    <xf numFmtId="49" fontId="17" fillId="0" borderId="0" xfId="0" applyNumberFormat="1" applyFont="1" applyFill="1" applyBorder="1" applyAlignment="1"/>
    <xf numFmtId="0" fontId="11" fillId="0" borderId="13" xfId="0" applyFont="1" applyBorder="1" applyAlignment="1"/>
    <xf numFmtId="0" fontId="11" fillId="0" borderId="11" xfId="0" applyFont="1" applyFill="1" applyBorder="1" applyAlignment="1"/>
    <xf numFmtId="0" fontId="5" fillId="0" borderId="0" xfId="0" applyFont="1" applyFill="1"/>
    <xf numFmtId="14" fontId="17" fillId="0" borderId="0" xfId="2" applyNumberFormat="1" applyFont="1" applyFill="1" applyBorder="1" applyAlignment="1">
      <alignment horizontal="left"/>
    </xf>
    <xf numFmtId="49" fontId="17" fillId="0" borderId="0" xfId="0" quotePrefix="1" applyNumberFormat="1" applyFont="1" applyBorder="1" applyAlignment="1">
      <alignment horizontal="center"/>
    </xf>
  </cellXfs>
  <cellStyles count="6">
    <cellStyle name="Hyperlink" xfId="5" builtinId="8"/>
    <cellStyle name="Normal" xfId="0" builtinId="0"/>
    <cellStyle name="Normal 2" xfId="2" xr:uid="{00000000-0005-0000-0000-000001000000}"/>
    <cellStyle name="Normal 2 2" xfId="3" xr:uid="{00000000-0005-0000-0000-000002000000}"/>
    <cellStyle name="Normal 2 3" xfId="4" xr:uid="{00000000-0005-0000-0000-000003000000}"/>
    <cellStyle name="Normal 3" xfId="1" xr:uid="{00000000-0005-0000-0000-000004000000}"/>
  </cellStyles>
  <dxfs count="3">
    <dxf>
      <fill>
        <patternFill>
          <bgColor theme="5" tint="0.79998168889431442"/>
        </patternFill>
      </fill>
    </dxf>
    <dxf>
      <fill>
        <patternFill>
          <bgColor theme="6" tint="0.79998168889431442"/>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1438275</xdr:colOff>
          <xdr:row>0</xdr:row>
          <xdr:rowOff>0</xdr:rowOff>
        </xdr:from>
        <xdr:to>
          <xdr:col>2</xdr:col>
          <xdr:colOff>2800350</xdr:colOff>
          <xdr:row>1</xdr:row>
          <xdr:rowOff>142875</xdr:rowOff>
        </xdr:to>
        <xdr:sp macro="" textlink="">
          <xdr:nvSpPr>
            <xdr:cNvPr id="2057" name="btnGenerateXML"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hyperlink" Target="file:///\\DE-PROD.DK\Corp\Data\EE-Data\MIADR\HOW01\OSS\Electrical%20Equipment\Siemens\HV%20Switchgear%20(GIS)%20220kV\Z11\Final\02%20Secondary%20Equipment\02_01\=_S_B_7.dwg" TargetMode="External"/><Relationship Id="rId1" Type="http://schemas.openxmlformats.org/officeDocument/2006/relationships/hyperlink" Target="file:///\\DE-PROD.DK\Corp\Data\EE-Data\MIADR\HOW01\OSS\Electrical%20Equipment\Siemens\HV%20Switchgear%20(GIS)%20220kV\Z11\Final\02%20Secondary%20Equipment\02_01\=_S_B_7.dw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3">
    <pageSetUpPr fitToPage="1"/>
  </sheetPr>
  <dimension ref="A1:AQ20"/>
  <sheetViews>
    <sheetView tabSelected="1" zoomScaleNormal="100" zoomScaleSheetLayoutView="100" workbookViewId="0">
      <pane xSplit="2" ySplit="14" topLeftCell="C15" activePane="bottomRight" state="frozen"/>
      <selection pane="topRight" activeCell="C1" sqref="C1"/>
      <selection pane="bottomLeft" activeCell="A15" sqref="A15"/>
      <selection pane="bottomRight" activeCell="C22" sqref="C22"/>
    </sheetView>
  </sheetViews>
  <sheetFormatPr defaultRowHeight="12.75"/>
  <cols>
    <col min="1" max="1" width="6.7109375" customWidth="1"/>
    <col min="2" max="2" width="12" bestFit="1" customWidth="1"/>
    <col min="3" max="3" width="54.28515625" customWidth="1"/>
    <col min="4" max="4" width="8.140625" customWidth="1"/>
    <col min="5" max="5" width="8.42578125" style="26" customWidth="1"/>
    <col min="6" max="6" width="22.28515625" customWidth="1"/>
    <col min="7" max="7" width="8.5703125" customWidth="1"/>
    <col min="8" max="8" width="17.28515625" customWidth="1"/>
    <col min="9" max="9" width="11.28515625" customWidth="1"/>
    <col min="10" max="10" width="5.28515625" style="26" customWidth="1"/>
    <col min="11" max="11" width="2.7109375" style="26" customWidth="1"/>
    <col min="12" max="12" width="27.5703125" customWidth="1"/>
    <col min="13" max="13" width="45.85546875" customWidth="1"/>
    <col min="14" max="14" width="52.42578125" customWidth="1"/>
    <col min="15" max="15" width="28.28515625" customWidth="1"/>
    <col min="16" max="16" width="8.85546875" customWidth="1"/>
    <col min="17" max="17" width="10.7109375" customWidth="1"/>
    <col min="18" max="18" width="11.7109375" customWidth="1"/>
    <col min="19" max="19" width="12.140625" customWidth="1"/>
    <col min="20" max="20" width="13.28515625" style="45" customWidth="1"/>
    <col min="21" max="21" width="12.85546875" customWidth="1"/>
    <col min="22" max="28" width="5.42578125" customWidth="1"/>
    <col min="29" max="29" width="13.7109375" customWidth="1"/>
    <col min="30" max="30" width="46.140625" customWidth="1"/>
    <col min="31" max="31" width="9" customWidth="1"/>
    <col min="32" max="32" width="13.140625" customWidth="1"/>
    <col min="33" max="33" width="16.42578125" customWidth="1"/>
    <col min="34" max="34" width="9.85546875" customWidth="1"/>
    <col min="35" max="35" width="30" customWidth="1"/>
    <col min="36" max="36" width="9" customWidth="1"/>
    <col min="37" max="37" width="9.85546875" customWidth="1"/>
    <col min="38" max="38" width="14.42578125" customWidth="1"/>
    <col min="39" max="39" width="9.85546875" customWidth="1"/>
    <col min="40" max="43" width="11.7109375" customWidth="1"/>
    <col min="44" max="44" width="27.28515625" bestFit="1" customWidth="1"/>
    <col min="45" max="45" width="29.85546875" bestFit="1" customWidth="1"/>
    <col min="46" max="53" width="5.7109375" customWidth="1"/>
  </cols>
  <sheetData>
    <row r="1" spans="1:43" ht="15.75">
      <c r="A1" s="22" t="s">
        <v>15</v>
      </c>
      <c r="B1" s="2"/>
      <c r="C1" s="2"/>
      <c r="D1" s="6"/>
      <c r="E1" s="29"/>
      <c r="F1" s="6"/>
      <c r="G1" s="5"/>
      <c r="H1" s="5"/>
      <c r="I1" s="7"/>
      <c r="J1" s="27"/>
      <c r="K1" s="25"/>
      <c r="L1" s="7"/>
      <c r="M1" s="7"/>
      <c r="N1" s="7"/>
      <c r="Q1" s="5"/>
      <c r="R1" s="5"/>
      <c r="AA1" s="35"/>
      <c r="AB1" s="5"/>
      <c r="AC1" s="7"/>
    </row>
    <row r="2" spans="1:43">
      <c r="A2" s="4"/>
      <c r="B2" s="2"/>
      <c r="C2" s="2"/>
      <c r="D2" s="6"/>
      <c r="E2" s="29"/>
      <c r="F2" s="6"/>
      <c r="G2" s="5"/>
      <c r="H2" s="5"/>
      <c r="I2" s="7"/>
      <c r="J2" s="27"/>
      <c r="K2" s="25"/>
      <c r="L2" s="7"/>
      <c r="M2" s="7"/>
      <c r="N2" s="62"/>
      <c r="O2" s="62"/>
      <c r="Q2" s="5"/>
      <c r="R2" s="5"/>
      <c r="AA2" s="35"/>
      <c r="AB2" s="5"/>
      <c r="AC2" s="7"/>
    </row>
    <row r="3" spans="1:43" ht="13.5" thickBot="1">
      <c r="A3" s="13" t="s">
        <v>4</v>
      </c>
      <c r="B3" s="14" t="s">
        <v>9</v>
      </c>
      <c r="C3" s="15" t="s">
        <v>206</v>
      </c>
      <c r="D3" s="6"/>
      <c r="E3" s="30" t="s">
        <v>4</v>
      </c>
      <c r="F3" s="14" t="s">
        <v>19</v>
      </c>
      <c r="G3" s="15" t="s">
        <v>87</v>
      </c>
      <c r="H3" s="5"/>
      <c r="I3" s="7"/>
      <c r="J3" s="27"/>
      <c r="K3" s="25"/>
      <c r="L3" s="5"/>
      <c r="M3" s="5"/>
      <c r="N3" s="62"/>
      <c r="O3" s="62"/>
      <c r="Q3" s="1"/>
      <c r="R3" s="2"/>
      <c r="AA3" s="35"/>
      <c r="AB3" s="5"/>
      <c r="AC3" s="8"/>
    </row>
    <row r="4" spans="1:43">
      <c r="A4" s="16" t="s">
        <v>5</v>
      </c>
      <c r="B4" s="3" t="s">
        <v>10</v>
      </c>
      <c r="C4" s="9"/>
      <c r="D4" s="6"/>
      <c r="E4" s="31" t="s">
        <v>5</v>
      </c>
      <c r="F4" s="3" t="s">
        <v>18</v>
      </c>
      <c r="G4" s="9"/>
      <c r="H4" s="5"/>
      <c r="I4" s="7"/>
      <c r="J4" s="27"/>
      <c r="K4" s="25"/>
      <c r="L4" s="5"/>
      <c r="M4" s="5"/>
      <c r="N4" s="62"/>
      <c r="O4" s="62"/>
      <c r="Q4" s="1"/>
      <c r="R4" s="2"/>
      <c r="AA4" s="35"/>
      <c r="AB4" s="5"/>
      <c r="AC4" s="8"/>
    </row>
    <row r="5" spans="1:43">
      <c r="A5" s="17" t="s">
        <v>24</v>
      </c>
      <c r="B5" s="18" t="s">
        <v>11</v>
      </c>
      <c r="C5" s="19"/>
      <c r="D5" s="12"/>
      <c r="E5" s="32" t="s">
        <v>24</v>
      </c>
      <c r="F5" s="18" t="s">
        <v>17</v>
      </c>
      <c r="G5" s="21"/>
      <c r="H5" s="5"/>
      <c r="I5" s="7"/>
      <c r="J5" s="27"/>
      <c r="K5" s="25"/>
      <c r="L5" s="5"/>
      <c r="M5" s="5"/>
      <c r="N5" s="62"/>
      <c r="O5" s="62"/>
      <c r="Q5" s="1"/>
      <c r="R5" s="2"/>
      <c r="AA5" s="35"/>
      <c r="AB5" s="5"/>
      <c r="AC5" s="8"/>
    </row>
    <row r="6" spans="1:43">
      <c r="A6" s="4"/>
      <c r="B6" s="2"/>
      <c r="C6" s="2"/>
      <c r="D6" s="6"/>
      <c r="E6" s="29"/>
      <c r="F6" s="6"/>
      <c r="G6" s="5"/>
      <c r="H6" s="5"/>
      <c r="I6" s="7"/>
      <c r="J6" s="27"/>
      <c r="K6" s="25"/>
      <c r="L6" s="5"/>
      <c r="M6" s="5"/>
      <c r="N6" s="62"/>
      <c r="O6" s="62"/>
      <c r="Q6" s="5"/>
      <c r="R6" s="5"/>
      <c r="AA6" s="35"/>
      <c r="AB6" s="5"/>
      <c r="AC6" s="8"/>
    </row>
    <row r="7" spans="1:43" ht="13.5" thickBot="1">
      <c r="A7" s="20" t="s">
        <v>4</v>
      </c>
      <c r="B7" s="14" t="s">
        <v>12</v>
      </c>
      <c r="C7" s="24" t="s">
        <v>223</v>
      </c>
      <c r="D7" s="6"/>
      <c r="E7" s="30" t="s">
        <v>4</v>
      </c>
      <c r="F7" s="14" t="s">
        <v>139</v>
      </c>
      <c r="G7" s="15" t="s">
        <v>101</v>
      </c>
      <c r="H7" s="5"/>
      <c r="I7" s="7"/>
      <c r="J7" s="27"/>
      <c r="K7" s="25"/>
      <c r="L7" s="5"/>
      <c r="M7" s="5"/>
      <c r="N7" s="62"/>
      <c r="Q7" s="1"/>
      <c r="R7" s="2"/>
      <c r="AA7" s="35"/>
      <c r="AB7" s="5"/>
      <c r="AC7" s="8"/>
    </row>
    <row r="8" spans="1:43">
      <c r="A8" s="16" t="s">
        <v>5</v>
      </c>
      <c r="B8" s="3" t="s">
        <v>13</v>
      </c>
      <c r="C8" s="9"/>
      <c r="D8" s="6"/>
      <c r="E8" s="31" t="s">
        <v>5</v>
      </c>
      <c r="F8" s="3" t="s">
        <v>140</v>
      </c>
      <c r="G8" s="9"/>
      <c r="H8" s="5"/>
      <c r="I8" s="7"/>
      <c r="J8" s="27"/>
      <c r="K8" s="25"/>
      <c r="L8" s="5"/>
      <c r="M8" s="5"/>
      <c r="N8" s="8"/>
      <c r="Q8" s="1"/>
      <c r="R8" s="2"/>
      <c r="AA8" s="35"/>
      <c r="AB8" s="5"/>
      <c r="AC8" s="8"/>
    </row>
    <row r="9" spans="1:43">
      <c r="A9" s="17" t="s">
        <v>24</v>
      </c>
      <c r="B9" s="18" t="s">
        <v>14</v>
      </c>
      <c r="C9" s="19"/>
      <c r="D9" s="12"/>
      <c r="E9" s="32" t="s">
        <v>24</v>
      </c>
      <c r="F9" s="18" t="s">
        <v>45</v>
      </c>
      <c r="G9" s="21"/>
      <c r="H9" s="5"/>
      <c r="I9" s="7"/>
      <c r="J9" s="27"/>
      <c r="K9" s="25"/>
      <c r="L9" s="5"/>
      <c r="M9" s="5"/>
      <c r="N9" s="8"/>
      <c r="Q9" s="1"/>
      <c r="R9" s="2"/>
      <c r="AA9" s="35"/>
      <c r="AB9" s="5"/>
      <c r="AC9" s="8"/>
    </row>
    <row r="10" spans="1:43">
      <c r="A10" s="4"/>
      <c r="B10" s="2"/>
      <c r="C10" s="2"/>
      <c r="D10" s="6"/>
      <c r="E10" s="29"/>
      <c r="F10" s="6"/>
      <c r="G10" s="5"/>
      <c r="H10" s="5"/>
      <c r="I10" s="7"/>
      <c r="J10" s="27"/>
      <c r="K10" s="25"/>
      <c r="L10" s="5"/>
      <c r="M10" s="5"/>
      <c r="N10" s="8"/>
      <c r="Q10" s="5"/>
      <c r="R10" s="5"/>
      <c r="AA10" s="35"/>
      <c r="AB10" s="5"/>
      <c r="AC10" s="8"/>
    </row>
    <row r="11" spans="1:43" ht="13.5" thickBot="1">
      <c r="A11" s="4"/>
      <c r="B11" s="2"/>
      <c r="C11" s="2"/>
      <c r="D11" s="6"/>
      <c r="E11" s="29"/>
      <c r="F11" s="6"/>
      <c r="G11" s="5"/>
      <c r="H11" s="5"/>
      <c r="I11" s="7"/>
      <c r="J11" s="27"/>
      <c r="K11" s="25"/>
      <c r="L11" s="5"/>
      <c r="M11" s="5"/>
      <c r="N11" s="8"/>
      <c r="Q11" s="5"/>
      <c r="R11" s="5"/>
      <c r="T11" s="65"/>
      <c r="AA11" s="35"/>
      <c r="AB11" s="5"/>
      <c r="AC11" s="8"/>
    </row>
    <row r="12" spans="1:43">
      <c r="A12" s="39" t="s">
        <v>4</v>
      </c>
      <c r="B12" s="34" t="s">
        <v>82</v>
      </c>
      <c r="C12" s="34" t="s">
        <v>6</v>
      </c>
      <c r="D12" s="34" t="s">
        <v>3</v>
      </c>
      <c r="E12" s="33" t="s">
        <v>16</v>
      </c>
      <c r="F12" s="34" t="s">
        <v>141</v>
      </c>
      <c r="G12" s="34" t="s">
        <v>102</v>
      </c>
      <c r="H12" s="34" t="s">
        <v>103</v>
      </c>
      <c r="I12" s="34" t="s">
        <v>25</v>
      </c>
      <c r="J12" s="33" t="s">
        <v>34</v>
      </c>
      <c r="K12" s="33" t="s">
        <v>33</v>
      </c>
      <c r="L12" s="34" t="s">
        <v>104</v>
      </c>
      <c r="M12" s="34" t="s">
        <v>105</v>
      </c>
      <c r="N12" s="34" t="s">
        <v>106</v>
      </c>
      <c r="O12" s="36" t="s">
        <v>72</v>
      </c>
      <c r="P12" s="36" t="s">
        <v>21</v>
      </c>
      <c r="Q12" s="34" t="s">
        <v>107</v>
      </c>
      <c r="R12" s="34" t="s">
        <v>108</v>
      </c>
      <c r="S12" s="36" t="s">
        <v>43</v>
      </c>
      <c r="T12" s="36" t="s">
        <v>109</v>
      </c>
      <c r="U12" s="36" t="s">
        <v>116</v>
      </c>
      <c r="V12" s="36" t="s">
        <v>117</v>
      </c>
      <c r="W12" s="36" t="s">
        <v>118</v>
      </c>
      <c r="X12" s="36" t="s">
        <v>76</v>
      </c>
      <c r="Y12" s="36" t="s">
        <v>78</v>
      </c>
      <c r="Z12" s="36" t="s">
        <v>71</v>
      </c>
      <c r="AA12" s="34" t="s">
        <v>29</v>
      </c>
      <c r="AB12" s="34" t="s">
        <v>46</v>
      </c>
      <c r="AC12" s="34" t="s">
        <v>119</v>
      </c>
      <c r="AD12" s="34" t="s">
        <v>120</v>
      </c>
      <c r="AE12" s="36" t="s">
        <v>88</v>
      </c>
      <c r="AF12" s="36" t="s">
        <v>44</v>
      </c>
      <c r="AG12" s="36" t="s">
        <v>121</v>
      </c>
      <c r="AH12" s="36" t="s">
        <v>91</v>
      </c>
      <c r="AI12" s="36" t="s">
        <v>209</v>
      </c>
      <c r="AJ12" s="36" t="s">
        <v>204</v>
      </c>
      <c r="AK12" s="36" t="s">
        <v>122</v>
      </c>
      <c r="AL12" s="36" t="s">
        <v>123</v>
      </c>
      <c r="AM12" s="36" t="s">
        <v>124</v>
      </c>
      <c r="AN12" s="36" t="s">
        <v>125</v>
      </c>
      <c r="AO12" s="36" t="s">
        <v>126</v>
      </c>
      <c r="AP12" s="36" t="s">
        <v>127</v>
      </c>
      <c r="AQ12" s="37" t="s">
        <v>128</v>
      </c>
    </row>
    <row r="13" spans="1:43">
      <c r="A13" s="40" t="s">
        <v>5</v>
      </c>
      <c r="B13" s="11" t="s">
        <v>82</v>
      </c>
      <c r="C13" s="11" t="s">
        <v>7</v>
      </c>
      <c r="D13" s="11" t="s">
        <v>0</v>
      </c>
      <c r="E13" s="28" t="s">
        <v>16</v>
      </c>
      <c r="F13" s="11" t="s">
        <v>20</v>
      </c>
      <c r="G13" s="11" t="s">
        <v>102</v>
      </c>
      <c r="H13" s="11" t="s">
        <v>110</v>
      </c>
      <c r="I13" s="11" t="s">
        <v>26</v>
      </c>
      <c r="J13" s="28" t="s">
        <v>35</v>
      </c>
      <c r="K13" s="28" t="s">
        <v>32</v>
      </c>
      <c r="L13" s="10" t="s">
        <v>111</v>
      </c>
      <c r="M13" s="10" t="s">
        <v>112</v>
      </c>
      <c r="N13" s="10" t="s">
        <v>113</v>
      </c>
      <c r="O13" s="10" t="s">
        <v>73</v>
      </c>
      <c r="P13" s="10" t="s">
        <v>22</v>
      </c>
      <c r="Q13" s="11" t="s">
        <v>114</v>
      </c>
      <c r="R13" s="11" t="s">
        <v>50</v>
      </c>
      <c r="S13" s="10" t="s">
        <v>115</v>
      </c>
      <c r="T13" s="10" t="s">
        <v>74</v>
      </c>
      <c r="U13" s="10" t="s">
        <v>75</v>
      </c>
      <c r="V13" s="10" t="s">
        <v>129</v>
      </c>
      <c r="W13" s="10" t="s">
        <v>130</v>
      </c>
      <c r="X13" s="10" t="s">
        <v>77</v>
      </c>
      <c r="Y13" s="10" t="s">
        <v>79</v>
      </c>
      <c r="Z13" s="10" t="s">
        <v>2</v>
      </c>
      <c r="AA13" s="10" t="s">
        <v>30</v>
      </c>
      <c r="AB13" s="11" t="s">
        <v>47</v>
      </c>
      <c r="AC13" s="10" t="s">
        <v>41</v>
      </c>
      <c r="AD13" s="10" t="s">
        <v>42</v>
      </c>
      <c r="AE13" s="10" t="s">
        <v>88</v>
      </c>
      <c r="AF13" s="10" t="s">
        <v>44</v>
      </c>
      <c r="AG13" s="10" t="s">
        <v>131</v>
      </c>
      <c r="AH13" s="10" t="s">
        <v>92</v>
      </c>
      <c r="AI13" s="10" t="s">
        <v>210</v>
      </c>
      <c r="AJ13" s="10" t="s">
        <v>204</v>
      </c>
      <c r="AK13" s="10" t="s">
        <v>132</v>
      </c>
      <c r="AL13" s="10" t="s">
        <v>133</v>
      </c>
      <c r="AM13" s="10" t="s">
        <v>134</v>
      </c>
      <c r="AN13" s="10" t="s">
        <v>135</v>
      </c>
      <c r="AO13" s="10" t="s">
        <v>136</v>
      </c>
      <c r="AP13" s="10" t="s">
        <v>137</v>
      </c>
      <c r="AQ13" s="38" t="s">
        <v>138</v>
      </c>
    </row>
    <row r="14" spans="1:43">
      <c r="A14" s="63" t="s">
        <v>24</v>
      </c>
      <c r="B14" s="47" t="s">
        <v>82</v>
      </c>
      <c r="C14" s="47" t="s">
        <v>8</v>
      </c>
      <c r="D14" s="47" t="s">
        <v>70</v>
      </c>
      <c r="E14" s="47" t="s">
        <v>57</v>
      </c>
      <c r="F14" s="47" t="s">
        <v>58</v>
      </c>
      <c r="G14" s="47" t="s">
        <v>28</v>
      </c>
      <c r="H14" s="47" t="s">
        <v>23</v>
      </c>
      <c r="I14" s="47" t="s">
        <v>27</v>
      </c>
      <c r="J14" s="47" t="s">
        <v>83</v>
      </c>
      <c r="K14" s="47" t="s">
        <v>93</v>
      </c>
      <c r="L14" s="46" t="s">
        <v>38</v>
      </c>
      <c r="M14" s="46" t="s">
        <v>37</v>
      </c>
      <c r="N14" s="46" t="s">
        <v>36</v>
      </c>
      <c r="O14" s="46" t="s">
        <v>60</v>
      </c>
      <c r="P14" s="46" t="s">
        <v>61</v>
      </c>
      <c r="Q14" s="47" t="s">
        <v>49</v>
      </c>
      <c r="R14" s="47" t="s">
        <v>51</v>
      </c>
      <c r="S14" s="46" t="s">
        <v>62</v>
      </c>
      <c r="T14" s="46" t="s">
        <v>63</v>
      </c>
      <c r="U14" s="46" t="s">
        <v>64</v>
      </c>
      <c r="V14" s="46" t="s">
        <v>65</v>
      </c>
      <c r="W14" s="46" t="s">
        <v>66</v>
      </c>
      <c r="X14" s="46" t="s">
        <v>67</v>
      </c>
      <c r="Y14" s="46" t="s">
        <v>68</v>
      </c>
      <c r="Z14" s="46" t="s">
        <v>71</v>
      </c>
      <c r="AA14" s="46" t="s">
        <v>31</v>
      </c>
      <c r="AB14" s="47" t="s">
        <v>48</v>
      </c>
      <c r="AC14" s="46" t="s">
        <v>39</v>
      </c>
      <c r="AD14" s="46" t="s">
        <v>40</v>
      </c>
      <c r="AE14" s="46" t="s">
        <v>89</v>
      </c>
      <c r="AF14" s="46" t="s">
        <v>81</v>
      </c>
      <c r="AG14" s="46" t="s">
        <v>84</v>
      </c>
      <c r="AH14" s="46" t="s">
        <v>90</v>
      </c>
      <c r="AI14" s="46" t="s">
        <v>207</v>
      </c>
      <c r="AJ14" s="46" t="s">
        <v>208</v>
      </c>
      <c r="AK14" s="46" t="s">
        <v>94</v>
      </c>
      <c r="AL14" s="46" t="s">
        <v>95</v>
      </c>
      <c r="AM14" s="46" t="s">
        <v>96</v>
      </c>
      <c r="AN14" s="46" t="s">
        <v>97</v>
      </c>
      <c r="AO14" s="46" t="s">
        <v>98</v>
      </c>
      <c r="AP14" s="46" t="s">
        <v>99</v>
      </c>
      <c r="AQ14" s="64" t="s">
        <v>100</v>
      </c>
    </row>
    <row r="15" spans="1:43" s="49" customFormat="1" ht="12">
      <c r="A15" s="48" t="s">
        <v>235</v>
      </c>
      <c r="C15" s="50" t="s">
        <v>228</v>
      </c>
      <c r="D15" s="51" t="s">
        <v>211</v>
      </c>
      <c r="E15" s="67" t="s">
        <v>212</v>
      </c>
      <c r="F15" s="55" t="s">
        <v>219</v>
      </c>
      <c r="G15" s="52" t="s">
        <v>1</v>
      </c>
      <c r="H15" s="53" t="s">
        <v>142</v>
      </c>
      <c r="I15" s="53" t="s">
        <v>150</v>
      </c>
      <c r="J15" s="51"/>
      <c r="K15" s="51"/>
      <c r="L15" s="54" t="s">
        <v>218</v>
      </c>
      <c r="M15" s="49" t="s">
        <v>220</v>
      </c>
      <c r="N15" s="55" t="s">
        <v>221</v>
      </c>
      <c r="O15" s="56" t="s">
        <v>867</v>
      </c>
      <c r="P15" s="55"/>
      <c r="Q15" s="55"/>
      <c r="R15" s="55"/>
      <c r="S15" s="55" t="s">
        <v>217</v>
      </c>
      <c r="T15" s="66">
        <v>43709</v>
      </c>
      <c r="U15" s="55" t="s">
        <v>216</v>
      </c>
      <c r="V15" s="55"/>
      <c r="W15" s="55"/>
      <c r="X15" s="55"/>
      <c r="Y15" s="55"/>
      <c r="Z15" s="55"/>
      <c r="AA15" s="55"/>
      <c r="AB15" s="55"/>
      <c r="AC15" s="55" t="s">
        <v>215</v>
      </c>
      <c r="AD15" s="55" t="s">
        <v>213</v>
      </c>
      <c r="AI15" s="49">
        <v>1</v>
      </c>
    </row>
    <row r="16" spans="1:43" s="49" customFormat="1" ht="14.25" customHeight="1">
      <c r="A16" s="48" t="s">
        <v>236</v>
      </c>
      <c r="C16" s="50" t="s">
        <v>229</v>
      </c>
      <c r="D16" s="51" t="s">
        <v>211</v>
      </c>
      <c r="E16" s="51" t="s">
        <v>212</v>
      </c>
      <c r="F16" s="55" t="s">
        <v>871</v>
      </c>
      <c r="G16" s="52" t="s">
        <v>1</v>
      </c>
      <c r="H16" s="53" t="s">
        <v>142</v>
      </c>
      <c r="I16" s="53" t="s">
        <v>150</v>
      </c>
      <c r="J16" s="57"/>
      <c r="K16" s="51"/>
      <c r="L16" s="54" t="s">
        <v>218</v>
      </c>
      <c r="M16" s="49" t="s">
        <v>220</v>
      </c>
      <c r="N16" s="55" t="s">
        <v>222</v>
      </c>
      <c r="O16" s="56" t="s">
        <v>868</v>
      </c>
      <c r="P16" s="55"/>
      <c r="Q16" s="55"/>
      <c r="R16" s="55"/>
      <c r="S16" s="55" t="s">
        <v>217</v>
      </c>
      <c r="T16" s="66">
        <v>43474</v>
      </c>
      <c r="U16" s="55" t="s">
        <v>216</v>
      </c>
      <c r="V16" s="55"/>
      <c r="W16" s="55"/>
      <c r="X16" s="55"/>
      <c r="Y16" s="55"/>
      <c r="Z16" s="55"/>
      <c r="AA16" s="55"/>
      <c r="AB16" s="55"/>
      <c r="AC16" s="55" t="s">
        <v>215</v>
      </c>
      <c r="AD16" s="55" t="s">
        <v>214</v>
      </c>
      <c r="AI16" s="49">
        <v>1</v>
      </c>
    </row>
    <row r="17" spans="1:35" s="49" customFormat="1" ht="12">
      <c r="A17" s="48" t="s">
        <v>237</v>
      </c>
      <c r="C17" s="49" t="s">
        <v>224</v>
      </c>
      <c r="D17" s="51" t="s">
        <v>211</v>
      </c>
      <c r="E17" s="51" t="s">
        <v>212</v>
      </c>
      <c r="F17" s="49" t="s">
        <v>231</v>
      </c>
      <c r="G17" s="52" t="s">
        <v>1</v>
      </c>
      <c r="H17" s="53" t="s">
        <v>142</v>
      </c>
      <c r="I17" s="53" t="s">
        <v>150</v>
      </c>
      <c r="J17" s="60"/>
      <c r="K17" s="60"/>
      <c r="L17" s="54" t="s">
        <v>218</v>
      </c>
      <c r="M17" s="49" t="s">
        <v>220</v>
      </c>
      <c r="N17" s="61" t="s">
        <v>242</v>
      </c>
      <c r="O17" s="56" t="s">
        <v>869</v>
      </c>
      <c r="P17" s="55"/>
      <c r="S17" s="55" t="s">
        <v>217</v>
      </c>
      <c r="T17" s="66">
        <v>43474</v>
      </c>
      <c r="U17" s="55" t="s">
        <v>216</v>
      </c>
      <c r="V17" s="55"/>
      <c r="W17" s="55"/>
      <c r="X17" s="55"/>
      <c r="Y17" s="55"/>
      <c r="Z17" s="55"/>
      <c r="AA17" s="55"/>
      <c r="AB17" s="55"/>
      <c r="AC17" s="55" t="s">
        <v>215</v>
      </c>
      <c r="AD17" s="62" t="s">
        <v>246</v>
      </c>
      <c r="AI17" s="49">
        <v>1</v>
      </c>
    </row>
    <row r="18" spans="1:35" s="49" customFormat="1" ht="12">
      <c r="A18" s="48" t="s">
        <v>238</v>
      </c>
      <c r="C18" s="49" t="s">
        <v>225</v>
      </c>
      <c r="D18" s="58" t="s">
        <v>211</v>
      </c>
      <c r="E18" s="51" t="s">
        <v>212</v>
      </c>
      <c r="F18" s="49" t="s">
        <v>232</v>
      </c>
      <c r="G18" s="59" t="s">
        <v>1</v>
      </c>
      <c r="H18" s="53" t="s">
        <v>142</v>
      </c>
      <c r="I18" s="53" t="s">
        <v>150</v>
      </c>
      <c r="J18" s="60"/>
      <c r="K18" s="60"/>
      <c r="L18" s="54" t="s">
        <v>218</v>
      </c>
      <c r="M18" s="49" t="s">
        <v>220</v>
      </c>
      <c r="N18" s="61" t="s">
        <v>243</v>
      </c>
      <c r="O18" s="56" t="s">
        <v>869</v>
      </c>
      <c r="P18" s="55"/>
      <c r="S18" s="55" t="s">
        <v>217</v>
      </c>
      <c r="T18" s="66">
        <v>43474</v>
      </c>
      <c r="U18" s="55" t="s">
        <v>216</v>
      </c>
      <c r="V18" s="55"/>
      <c r="W18" s="55"/>
      <c r="X18" s="55"/>
      <c r="Y18" s="55"/>
      <c r="Z18" s="55"/>
      <c r="AA18" s="55"/>
      <c r="AB18" s="55"/>
      <c r="AC18" s="55" t="s">
        <v>215</v>
      </c>
      <c r="AD18" s="62" t="s">
        <v>247</v>
      </c>
      <c r="AI18" s="49">
        <v>1</v>
      </c>
    </row>
    <row r="19" spans="1:35" s="49" customFormat="1" ht="12">
      <c r="A19" s="48" t="s">
        <v>239</v>
      </c>
      <c r="C19" s="49" t="s">
        <v>226</v>
      </c>
      <c r="D19" s="51" t="s">
        <v>211</v>
      </c>
      <c r="E19" s="51" t="s">
        <v>212</v>
      </c>
      <c r="F19" s="49" t="s">
        <v>233</v>
      </c>
      <c r="G19" s="52" t="s">
        <v>1</v>
      </c>
      <c r="H19" s="53" t="s">
        <v>142</v>
      </c>
      <c r="I19" s="53" t="s">
        <v>150</v>
      </c>
      <c r="J19" s="60"/>
      <c r="K19" s="60"/>
      <c r="L19" s="54" t="s">
        <v>218</v>
      </c>
      <c r="M19" s="49" t="s">
        <v>220</v>
      </c>
      <c r="N19" s="61" t="s">
        <v>244</v>
      </c>
      <c r="O19" s="56" t="s">
        <v>870</v>
      </c>
      <c r="P19" s="55"/>
      <c r="S19" s="55" t="s">
        <v>217</v>
      </c>
      <c r="T19" s="66">
        <v>43474</v>
      </c>
      <c r="U19" s="55" t="s">
        <v>216</v>
      </c>
      <c r="V19" s="55"/>
      <c r="W19" s="55"/>
      <c r="X19" s="55"/>
      <c r="Y19" s="55"/>
      <c r="Z19" s="55"/>
      <c r="AA19" s="55"/>
      <c r="AB19" s="55"/>
      <c r="AC19" s="55" t="s">
        <v>215</v>
      </c>
      <c r="AD19" s="62" t="s">
        <v>240</v>
      </c>
      <c r="AI19" s="49">
        <v>1</v>
      </c>
    </row>
    <row r="20" spans="1:35" s="49" customFormat="1" ht="12">
      <c r="A20" s="48" t="s">
        <v>248</v>
      </c>
      <c r="C20" s="49" t="s">
        <v>227</v>
      </c>
      <c r="D20" s="58" t="s">
        <v>211</v>
      </c>
      <c r="E20" s="51" t="s">
        <v>212</v>
      </c>
      <c r="F20" s="49" t="s">
        <v>234</v>
      </c>
      <c r="G20" s="59" t="s">
        <v>1</v>
      </c>
      <c r="H20" s="53" t="s">
        <v>142</v>
      </c>
      <c r="I20" s="53" t="s">
        <v>150</v>
      </c>
      <c r="J20" s="60"/>
      <c r="K20" s="60"/>
      <c r="L20" s="54" t="s">
        <v>218</v>
      </c>
      <c r="M20" s="49" t="s">
        <v>220</v>
      </c>
      <c r="N20" s="61" t="s">
        <v>245</v>
      </c>
      <c r="O20" s="56" t="s">
        <v>869</v>
      </c>
      <c r="P20" s="55"/>
      <c r="S20" s="55" t="s">
        <v>217</v>
      </c>
      <c r="T20" s="66">
        <v>43474</v>
      </c>
      <c r="U20" s="55" t="s">
        <v>216</v>
      </c>
      <c r="V20" s="55"/>
      <c r="W20" s="55"/>
      <c r="X20" s="55"/>
      <c r="Y20" s="55"/>
      <c r="Z20" s="55"/>
      <c r="AA20" s="55"/>
      <c r="AB20" s="55"/>
      <c r="AC20" s="55" t="s">
        <v>215</v>
      </c>
      <c r="AD20" s="62" t="s">
        <v>241</v>
      </c>
      <c r="AI20" s="49">
        <v>1</v>
      </c>
    </row>
  </sheetData>
  <autoFilter ref="A14:AQ20" xr:uid="{00000000-0009-0000-0000-000000000000}">
    <sortState ref="A15:AQ20">
      <sortCondition ref="F14:F20"/>
    </sortState>
  </autoFilter>
  <conditionalFormatting sqref="F1:F1048576">
    <cfRule type="duplicateValues" dxfId="2" priority="1"/>
  </conditionalFormatting>
  <dataValidations count="6">
    <dataValidation type="list" allowBlank="1" showInputMessage="1" showErrorMessage="1" sqref="AH15:AH16" xr:uid="{00000000-0002-0000-0000-000002000000}">
      <formula1>Phase</formula1>
    </dataValidation>
    <dataValidation type="list" allowBlank="1" showInputMessage="1" showErrorMessage="1" sqref="AJ15:AJ16" xr:uid="{00000000-0002-0000-0000-000003000000}">
      <formula1>O_M</formula1>
    </dataValidation>
    <dataValidation type="list" allowBlank="1" showInputMessage="1" showErrorMessage="1" sqref="C3" xr:uid="{00000000-0002-0000-0000-000005000000}">
      <formula1>LocType</formula1>
    </dataValidation>
    <dataValidation type="list" allowBlank="1" showInputMessage="1" showErrorMessage="1" sqref="H15:H20" xr:uid="{00000000-0002-0000-0000-000000000000}">
      <formula1>Filetype</formula1>
    </dataValidation>
    <dataValidation type="list" allowBlank="1" showInputMessage="1" showErrorMessage="1" sqref="AI15:AI20" xr:uid="{00000000-0002-0000-0000-000004000000}">
      <formula1>AllowUseReservation</formula1>
    </dataValidation>
    <dataValidation type="list" allowBlank="1" showInputMessage="1" showErrorMessage="1" sqref="I15:I20" xr:uid="{00000000-0002-0000-0000-000001000000}">
      <formula1>DocStatus</formula1>
    </dataValidation>
  </dataValidations>
  <printOptions gridLines="1"/>
  <pageMargins left="0.59055118110236215" right="0.59055118110236215" top="0.59055118110236215" bottom="0.59055118110236215" header="0.31496062992125989" footer="0.31496062992125989"/>
  <pageSetup paperSize="8" scale="87" fitToHeight="12" pageOrder="overThenDown" orientation="landscape" r:id="rId1"/>
  <headerFooter alignWithMargins="0">
    <oddHeader>&amp;L&amp;07Printed &amp;D &amp;T&amp;C&amp;A</oddHeader>
    <oddFooter>&amp;LFile No.: &amp;F&amp;CDONG Energy Job No.: 2-00065-20&amp;RPage &amp;P of &amp;N</oddFooter>
  </headerFooter>
  <drawing r:id="rId2"/>
  <legacyDrawing r:id="rId3"/>
  <controls>
    <mc:AlternateContent xmlns:mc="http://schemas.openxmlformats.org/markup-compatibility/2006">
      <mc:Choice Requires="x14">
        <control shapeId="2057" r:id="rId4" name="btnGenerateXML">
          <controlPr defaultSize="0" print="0" autoLine="0" r:id="rId5">
            <anchor moveWithCells="1">
              <from>
                <xdr:col>2</xdr:col>
                <xdr:colOff>1438275</xdr:colOff>
                <xdr:row>0</xdr:row>
                <xdr:rowOff>0</xdr:rowOff>
              </from>
              <to>
                <xdr:col>2</xdr:col>
                <xdr:colOff>2800350</xdr:colOff>
                <xdr:row>1</xdr:row>
                <xdr:rowOff>142875</xdr:rowOff>
              </to>
            </anchor>
          </controlPr>
        </control>
      </mc:Choice>
      <mc:Fallback>
        <control shapeId="2057" r:id="rId4" name="btnGenerateXM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3A6C5-1545-4DA0-9BDF-9C8FC5820F4F}">
  <dimension ref="A1:A50"/>
  <sheetViews>
    <sheetView workbookViewId="0">
      <selection activeCell="B1" sqref="B1:B50"/>
    </sheetView>
  </sheetViews>
  <sheetFormatPr defaultRowHeight="12.75"/>
  <cols>
    <col min="1" max="1" width="33.5703125" bestFit="1" customWidth="1"/>
    <col min="2" max="2" width="27.42578125" bestFit="1" customWidth="1"/>
  </cols>
  <sheetData>
    <row r="1" spans="1:1">
      <c r="A1" s="45" t="s">
        <v>230</v>
      </c>
    </row>
    <row r="2" spans="1:1">
      <c r="A2" t="s">
        <v>230</v>
      </c>
    </row>
    <row r="3" spans="1:1">
      <c r="A3" t="s">
        <v>230</v>
      </c>
    </row>
    <row r="4" spans="1:1">
      <c r="A4" t="s">
        <v>230</v>
      </c>
    </row>
    <row r="5" spans="1:1">
      <c r="A5" t="s">
        <v>230</v>
      </c>
    </row>
    <row r="6" spans="1:1">
      <c r="A6" t="s">
        <v>230</v>
      </c>
    </row>
    <row r="7" spans="1:1">
      <c r="A7" t="s">
        <v>230</v>
      </c>
    </row>
    <row r="8" spans="1:1">
      <c r="A8" t="s">
        <v>230</v>
      </c>
    </row>
    <row r="9" spans="1:1">
      <c r="A9" t="s">
        <v>230</v>
      </c>
    </row>
    <row r="10" spans="1:1">
      <c r="A10" t="s">
        <v>230</v>
      </c>
    </row>
    <row r="11" spans="1:1">
      <c r="A11" t="s">
        <v>230</v>
      </c>
    </row>
    <row r="12" spans="1:1">
      <c r="A12" t="s">
        <v>230</v>
      </c>
    </row>
    <row r="13" spans="1:1">
      <c r="A13" t="s">
        <v>230</v>
      </c>
    </row>
    <row r="14" spans="1:1">
      <c r="A14" t="s">
        <v>230</v>
      </c>
    </row>
    <row r="15" spans="1:1">
      <c r="A15" t="s">
        <v>230</v>
      </c>
    </row>
    <row r="16" spans="1:1">
      <c r="A16" t="s">
        <v>230</v>
      </c>
    </row>
    <row r="17" spans="1:1">
      <c r="A17" t="s">
        <v>230</v>
      </c>
    </row>
    <row r="18" spans="1:1">
      <c r="A18" t="s">
        <v>230</v>
      </c>
    </row>
    <row r="19" spans="1:1">
      <c r="A19" t="s">
        <v>230</v>
      </c>
    </row>
    <row r="20" spans="1:1">
      <c r="A20" t="s">
        <v>230</v>
      </c>
    </row>
    <row r="21" spans="1:1">
      <c r="A21" t="s">
        <v>230</v>
      </c>
    </row>
    <row r="22" spans="1:1">
      <c r="A22" t="s">
        <v>230</v>
      </c>
    </row>
    <row r="23" spans="1:1">
      <c r="A23" t="s">
        <v>230</v>
      </c>
    </row>
    <row r="24" spans="1:1">
      <c r="A24" t="s">
        <v>230</v>
      </c>
    </row>
    <row r="25" spans="1:1">
      <c r="A25" t="s">
        <v>230</v>
      </c>
    </row>
    <row r="26" spans="1:1">
      <c r="A26" t="s">
        <v>230</v>
      </c>
    </row>
    <row r="27" spans="1:1">
      <c r="A27" t="s">
        <v>230</v>
      </c>
    </row>
    <row r="28" spans="1:1">
      <c r="A28" t="s">
        <v>230</v>
      </c>
    </row>
    <row r="29" spans="1:1">
      <c r="A29" t="s">
        <v>230</v>
      </c>
    </row>
    <row r="30" spans="1:1">
      <c r="A30" t="s">
        <v>230</v>
      </c>
    </row>
    <row r="31" spans="1:1">
      <c r="A31" t="s">
        <v>230</v>
      </c>
    </row>
    <row r="32" spans="1:1">
      <c r="A32" t="s">
        <v>230</v>
      </c>
    </row>
    <row r="33" spans="1:1">
      <c r="A33" t="s">
        <v>230</v>
      </c>
    </row>
    <row r="34" spans="1:1">
      <c r="A34" t="s">
        <v>230</v>
      </c>
    </row>
    <row r="35" spans="1:1">
      <c r="A35" t="s">
        <v>230</v>
      </c>
    </row>
    <row r="36" spans="1:1">
      <c r="A36" t="s">
        <v>230</v>
      </c>
    </row>
    <row r="37" spans="1:1">
      <c r="A37" t="s">
        <v>230</v>
      </c>
    </row>
    <row r="38" spans="1:1">
      <c r="A38" t="s">
        <v>230</v>
      </c>
    </row>
    <row r="39" spans="1:1">
      <c r="A39" t="s">
        <v>230</v>
      </c>
    </row>
    <row r="40" spans="1:1">
      <c r="A40" t="s">
        <v>230</v>
      </c>
    </row>
    <row r="41" spans="1:1">
      <c r="A41" t="s">
        <v>230</v>
      </c>
    </row>
    <row r="42" spans="1:1">
      <c r="A42" t="s">
        <v>230</v>
      </c>
    </row>
    <row r="43" spans="1:1">
      <c r="A43" t="s">
        <v>230</v>
      </c>
    </row>
    <row r="44" spans="1:1">
      <c r="A44" t="s">
        <v>230</v>
      </c>
    </row>
    <row r="45" spans="1:1">
      <c r="A45" t="s">
        <v>230</v>
      </c>
    </row>
    <row r="46" spans="1:1">
      <c r="A46" t="s">
        <v>230</v>
      </c>
    </row>
    <row r="47" spans="1:1">
      <c r="A47" t="s">
        <v>230</v>
      </c>
    </row>
    <row r="48" spans="1:1">
      <c r="A48" t="s">
        <v>230</v>
      </c>
    </row>
    <row r="49" spans="1:1">
      <c r="A49" t="s">
        <v>230</v>
      </c>
    </row>
    <row r="50" spans="1:1">
      <c r="A50" t="s">
        <v>230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E47"/>
  <sheetViews>
    <sheetView workbookViewId="0">
      <pane ySplit="2" topLeftCell="A3" activePane="bottomLeft" state="frozen"/>
      <selection pane="bottomLeft" activeCell="E47" sqref="E47"/>
    </sheetView>
  </sheetViews>
  <sheetFormatPr defaultRowHeight="12.75"/>
  <cols>
    <col min="1" max="1" width="26" bestFit="1" customWidth="1"/>
    <col min="2" max="2" width="8.42578125" customWidth="1"/>
    <col min="3" max="3" width="11.42578125" bestFit="1" customWidth="1"/>
    <col min="4" max="4" width="23.42578125" bestFit="1" customWidth="1"/>
  </cols>
  <sheetData>
    <row r="1" spans="1:5">
      <c r="C1" s="5"/>
    </row>
    <row r="2" spans="1:5">
      <c r="A2" s="23" t="s">
        <v>52</v>
      </c>
      <c r="B2" s="23" t="s">
        <v>53</v>
      </c>
      <c r="C2" s="23" t="s">
        <v>54</v>
      </c>
      <c r="D2" s="23" t="s">
        <v>69</v>
      </c>
      <c r="E2" s="23" t="s">
        <v>80</v>
      </c>
    </row>
    <row r="3" spans="1:5">
      <c r="A3" t="s">
        <v>8</v>
      </c>
      <c r="B3">
        <v>1</v>
      </c>
      <c r="C3" t="b">
        <v>0</v>
      </c>
      <c r="D3" t="b">
        <v>0</v>
      </c>
      <c r="E3" t="b">
        <v>0</v>
      </c>
    </row>
    <row r="4" spans="1:5">
      <c r="A4" t="s">
        <v>45</v>
      </c>
      <c r="B4">
        <f>B3+1</f>
        <v>2</v>
      </c>
      <c r="C4" t="b">
        <v>1</v>
      </c>
      <c r="D4" t="b">
        <v>0</v>
      </c>
      <c r="E4" t="b">
        <v>0</v>
      </c>
    </row>
    <row r="5" spans="1:5">
      <c r="A5" t="s">
        <v>55</v>
      </c>
      <c r="B5">
        <f t="shared" ref="B5:B47" si="0">B4+1</f>
        <v>3</v>
      </c>
      <c r="C5" t="b">
        <v>1</v>
      </c>
      <c r="D5" t="b">
        <v>0</v>
      </c>
      <c r="E5" t="b">
        <v>0</v>
      </c>
    </row>
    <row r="6" spans="1:5">
      <c r="A6" t="s">
        <v>14</v>
      </c>
      <c r="B6">
        <f t="shared" si="0"/>
        <v>4</v>
      </c>
      <c r="C6" t="b">
        <v>1</v>
      </c>
      <c r="D6" t="b">
        <v>0</v>
      </c>
      <c r="E6" t="b">
        <v>0</v>
      </c>
    </row>
    <row r="7" spans="1:5">
      <c r="A7" t="s">
        <v>56</v>
      </c>
      <c r="B7">
        <f t="shared" si="0"/>
        <v>5</v>
      </c>
      <c r="C7" t="b">
        <v>0</v>
      </c>
      <c r="D7" t="b">
        <v>0</v>
      </c>
      <c r="E7" t="b">
        <v>0</v>
      </c>
    </row>
    <row r="8" spans="1:5">
      <c r="A8" t="s">
        <v>57</v>
      </c>
      <c r="B8">
        <f t="shared" si="0"/>
        <v>6</v>
      </c>
      <c r="C8" t="b">
        <v>0</v>
      </c>
      <c r="D8" t="b">
        <v>0</v>
      </c>
      <c r="E8" t="b">
        <v>0</v>
      </c>
    </row>
    <row r="9" spans="1:5">
      <c r="A9" t="s">
        <v>17</v>
      </c>
      <c r="B9">
        <f t="shared" si="0"/>
        <v>7</v>
      </c>
      <c r="C9" t="b">
        <v>1</v>
      </c>
      <c r="D9" t="b">
        <v>0</v>
      </c>
      <c r="E9" t="b">
        <v>0</v>
      </c>
    </row>
    <row r="10" spans="1:5">
      <c r="A10" t="s">
        <v>58</v>
      </c>
      <c r="B10">
        <f t="shared" si="0"/>
        <v>8</v>
      </c>
      <c r="C10" t="b">
        <v>0</v>
      </c>
      <c r="D10" t="b">
        <v>0</v>
      </c>
      <c r="E10" t="b">
        <v>0</v>
      </c>
    </row>
    <row r="11" spans="1:5">
      <c r="A11" t="s">
        <v>28</v>
      </c>
      <c r="B11">
        <f t="shared" si="0"/>
        <v>9</v>
      </c>
      <c r="C11" t="b">
        <v>0</v>
      </c>
      <c r="D11" t="b">
        <v>0</v>
      </c>
      <c r="E11" t="b">
        <v>0</v>
      </c>
    </row>
    <row r="12" spans="1:5">
      <c r="A12" t="s">
        <v>23</v>
      </c>
      <c r="B12">
        <f t="shared" si="0"/>
        <v>10</v>
      </c>
      <c r="C12" t="b">
        <v>0</v>
      </c>
      <c r="D12" t="b">
        <v>0</v>
      </c>
      <c r="E12" t="b">
        <v>0</v>
      </c>
    </row>
    <row r="13" spans="1:5">
      <c r="A13" t="s">
        <v>27</v>
      </c>
      <c r="B13">
        <f t="shared" si="0"/>
        <v>11</v>
      </c>
      <c r="C13" t="b">
        <v>0</v>
      </c>
      <c r="D13" t="b">
        <v>0</v>
      </c>
      <c r="E13" t="b">
        <v>0</v>
      </c>
    </row>
    <row r="14" spans="1:5">
      <c r="A14" t="s">
        <v>93</v>
      </c>
      <c r="B14">
        <f t="shared" si="0"/>
        <v>12</v>
      </c>
      <c r="C14" t="b">
        <v>0</v>
      </c>
      <c r="D14" t="b">
        <v>0</v>
      </c>
      <c r="E14" t="b">
        <v>0</v>
      </c>
    </row>
    <row r="15" spans="1:5">
      <c r="A15" t="s">
        <v>83</v>
      </c>
      <c r="B15">
        <f t="shared" si="0"/>
        <v>13</v>
      </c>
      <c r="C15" t="b">
        <v>0</v>
      </c>
      <c r="D15" t="b">
        <v>0</v>
      </c>
      <c r="E15" t="b">
        <v>1</v>
      </c>
    </row>
    <row r="16" spans="1:5">
      <c r="A16" t="s">
        <v>84</v>
      </c>
      <c r="B16">
        <f t="shared" si="0"/>
        <v>14</v>
      </c>
      <c r="C16" t="b">
        <v>0</v>
      </c>
      <c r="D16" t="b">
        <v>0</v>
      </c>
      <c r="E16" t="b">
        <v>1</v>
      </c>
    </row>
    <row r="17" spans="1:5">
      <c r="A17" t="s">
        <v>207</v>
      </c>
      <c r="B17">
        <f t="shared" si="0"/>
        <v>15</v>
      </c>
      <c r="C17" t="b">
        <v>0</v>
      </c>
      <c r="D17" t="b">
        <v>0</v>
      </c>
      <c r="E17" t="b">
        <v>1</v>
      </c>
    </row>
    <row r="18" spans="1:5">
      <c r="A18" s="5" t="s">
        <v>208</v>
      </c>
      <c r="B18">
        <f t="shared" si="0"/>
        <v>16</v>
      </c>
      <c r="C18" t="b">
        <v>0</v>
      </c>
      <c r="D18" t="b">
        <v>0</v>
      </c>
      <c r="E18" t="b">
        <v>1</v>
      </c>
    </row>
    <row r="19" spans="1:5">
      <c r="A19" t="s">
        <v>59</v>
      </c>
      <c r="B19">
        <f t="shared" si="0"/>
        <v>17</v>
      </c>
      <c r="C19" t="b">
        <v>0</v>
      </c>
      <c r="D19" t="b">
        <v>1</v>
      </c>
      <c r="E19" t="b">
        <v>1</v>
      </c>
    </row>
    <row r="20" spans="1:5">
      <c r="A20" t="s">
        <v>38</v>
      </c>
      <c r="B20">
        <f t="shared" si="0"/>
        <v>18</v>
      </c>
      <c r="C20" t="b">
        <v>0</v>
      </c>
      <c r="D20" t="b">
        <v>1</v>
      </c>
      <c r="E20" t="b">
        <v>1</v>
      </c>
    </row>
    <row r="21" spans="1:5">
      <c r="A21" t="s">
        <v>37</v>
      </c>
      <c r="B21">
        <f t="shared" si="0"/>
        <v>19</v>
      </c>
      <c r="C21" t="b">
        <v>0</v>
      </c>
      <c r="D21" t="b">
        <v>1</v>
      </c>
      <c r="E21" t="b">
        <v>1</v>
      </c>
    </row>
    <row r="22" spans="1:5">
      <c r="A22" t="s">
        <v>36</v>
      </c>
      <c r="B22">
        <f t="shared" si="0"/>
        <v>20</v>
      </c>
      <c r="C22" t="b">
        <v>0</v>
      </c>
      <c r="D22" t="b">
        <v>1</v>
      </c>
      <c r="E22" t="b">
        <v>1</v>
      </c>
    </row>
    <row r="23" spans="1:5">
      <c r="A23" t="s">
        <v>60</v>
      </c>
      <c r="B23">
        <f t="shared" si="0"/>
        <v>21</v>
      </c>
      <c r="C23" t="b">
        <v>0</v>
      </c>
      <c r="D23" t="b">
        <v>1</v>
      </c>
      <c r="E23" t="b">
        <v>1</v>
      </c>
    </row>
    <row r="24" spans="1:5">
      <c r="A24" t="s">
        <v>61</v>
      </c>
      <c r="B24">
        <f t="shared" si="0"/>
        <v>22</v>
      </c>
      <c r="C24" t="b">
        <v>0</v>
      </c>
      <c r="D24" t="b">
        <v>1</v>
      </c>
      <c r="E24" t="b">
        <v>1</v>
      </c>
    </row>
    <row r="25" spans="1:5">
      <c r="A25" t="s">
        <v>89</v>
      </c>
      <c r="B25">
        <f t="shared" si="0"/>
        <v>23</v>
      </c>
      <c r="C25" t="b">
        <v>0</v>
      </c>
      <c r="D25" t="b">
        <v>1</v>
      </c>
      <c r="E25" t="b">
        <v>1</v>
      </c>
    </row>
    <row r="26" spans="1:5">
      <c r="A26" t="s">
        <v>49</v>
      </c>
      <c r="B26">
        <f t="shared" si="0"/>
        <v>24</v>
      </c>
      <c r="C26" t="b">
        <v>0</v>
      </c>
      <c r="D26" t="b">
        <v>1</v>
      </c>
      <c r="E26" t="b">
        <v>1</v>
      </c>
    </row>
    <row r="27" spans="1:5">
      <c r="A27" t="s">
        <v>51</v>
      </c>
      <c r="B27">
        <f t="shared" si="0"/>
        <v>25</v>
      </c>
      <c r="C27" t="b">
        <v>0</v>
      </c>
      <c r="D27" t="b">
        <v>1</v>
      </c>
      <c r="E27" t="b">
        <v>1</v>
      </c>
    </row>
    <row r="28" spans="1:5">
      <c r="A28" t="s">
        <v>62</v>
      </c>
      <c r="B28">
        <f t="shared" si="0"/>
        <v>26</v>
      </c>
      <c r="C28" t="b">
        <v>0</v>
      </c>
      <c r="D28" t="b">
        <v>1</v>
      </c>
      <c r="E28" t="b">
        <v>1</v>
      </c>
    </row>
    <row r="29" spans="1:5">
      <c r="A29" t="s">
        <v>63</v>
      </c>
      <c r="B29">
        <f t="shared" si="0"/>
        <v>27</v>
      </c>
      <c r="C29" t="b">
        <v>0</v>
      </c>
      <c r="D29" t="b">
        <v>1</v>
      </c>
      <c r="E29" t="b">
        <v>1</v>
      </c>
    </row>
    <row r="30" spans="1:5">
      <c r="A30" t="s">
        <v>64</v>
      </c>
      <c r="B30">
        <f t="shared" si="0"/>
        <v>28</v>
      </c>
      <c r="C30" t="b">
        <v>0</v>
      </c>
      <c r="D30" t="b">
        <v>1</v>
      </c>
      <c r="E30" t="b">
        <v>1</v>
      </c>
    </row>
    <row r="31" spans="1:5">
      <c r="A31" t="s">
        <v>65</v>
      </c>
      <c r="B31">
        <f t="shared" si="0"/>
        <v>29</v>
      </c>
      <c r="C31" t="b">
        <v>0</v>
      </c>
      <c r="D31" t="b">
        <v>1</v>
      </c>
      <c r="E31" t="b">
        <v>1</v>
      </c>
    </row>
    <row r="32" spans="1:5">
      <c r="A32" t="s">
        <v>66</v>
      </c>
      <c r="B32">
        <f t="shared" si="0"/>
        <v>30</v>
      </c>
      <c r="C32" t="b">
        <v>0</v>
      </c>
      <c r="D32" t="b">
        <v>1</v>
      </c>
      <c r="E32" t="b">
        <v>1</v>
      </c>
    </row>
    <row r="33" spans="1:5">
      <c r="A33" t="s">
        <v>67</v>
      </c>
      <c r="B33">
        <f t="shared" si="0"/>
        <v>31</v>
      </c>
      <c r="C33" t="b">
        <v>0</v>
      </c>
      <c r="D33" t="b">
        <v>1</v>
      </c>
      <c r="E33" t="b">
        <v>1</v>
      </c>
    </row>
    <row r="34" spans="1:5">
      <c r="A34" t="s">
        <v>68</v>
      </c>
      <c r="B34">
        <f t="shared" si="0"/>
        <v>32</v>
      </c>
      <c r="C34" t="b">
        <v>0</v>
      </c>
      <c r="D34" t="b">
        <v>1</v>
      </c>
      <c r="E34" t="b">
        <v>1</v>
      </c>
    </row>
    <row r="35" spans="1:5">
      <c r="A35" t="s">
        <v>31</v>
      </c>
      <c r="B35">
        <f t="shared" si="0"/>
        <v>33</v>
      </c>
      <c r="C35" t="b">
        <v>0</v>
      </c>
      <c r="D35" t="b">
        <v>1</v>
      </c>
      <c r="E35" t="b">
        <v>1</v>
      </c>
    </row>
    <row r="36" spans="1:5">
      <c r="A36" t="s">
        <v>48</v>
      </c>
      <c r="B36">
        <f t="shared" si="0"/>
        <v>34</v>
      </c>
      <c r="C36" t="b">
        <v>0</v>
      </c>
      <c r="D36" t="b">
        <v>1</v>
      </c>
      <c r="E36" t="b">
        <v>1</v>
      </c>
    </row>
    <row r="37" spans="1:5">
      <c r="A37" t="s">
        <v>39</v>
      </c>
      <c r="B37">
        <f t="shared" si="0"/>
        <v>35</v>
      </c>
      <c r="C37" t="b">
        <v>0</v>
      </c>
      <c r="D37" t="b">
        <v>1</v>
      </c>
      <c r="E37" t="b">
        <v>1</v>
      </c>
    </row>
    <row r="38" spans="1:5">
      <c r="A38" t="s">
        <v>40</v>
      </c>
      <c r="B38">
        <f t="shared" si="0"/>
        <v>36</v>
      </c>
      <c r="C38" t="b">
        <v>0</v>
      </c>
      <c r="D38" t="b">
        <v>1</v>
      </c>
      <c r="E38" t="b">
        <v>1</v>
      </c>
    </row>
    <row r="39" spans="1:5">
      <c r="A39" t="s">
        <v>81</v>
      </c>
      <c r="B39">
        <f t="shared" si="0"/>
        <v>37</v>
      </c>
      <c r="C39" t="b">
        <v>0</v>
      </c>
      <c r="D39" t="b">
        <v>1</v>
      </c>
      <c r="E39" t="b">
        <v>1</v>
      </c>
    </row>
    <row r="40" spans="1:5">
      <c r="A40" t="s">
        <v>90</v>
      </c>
      <c r="B40">
        <f t="shared" si="0"/>
        <v>38</v>
      </c>
      <c r="C40" t="b">
        <v>0</v>
      </c>
      <c r="D40" t="b">
        <v>1</v>
      </c>
      <c r="E40" t="b">
        <v>1</v>
      </c>
    </row>
    <row r="41" spans="1:5">
      <c r="A41" s="5" t="s">
        <v>94</v>
      </c>
      <c r="B41">
        <f t="shared" si="0"/>
        <v>39</v>
      </c>
      <c r="C41" t="b">
        <v>0</v>
      </c>
      <c r="D41" t="b">
        <v>1</v>
      </c>
      <c r="E41" t="b">
        <v>1</v>
      </c>
    </row>
    <row r="42" spans="1:5">
      <c r="A42" s="5" t="s">
        <v>95</v>
      </c>
      <c r="B42">
        <f t="shared" si="0"/>
        <v>40</v>
      </c>
      <c r="C42" t="b">
        <v>0</v>
      </c>
      <c r="D42" t="b">
        <v>1</v>
      </c>
      <c r="E42" t="b">
        <v>1</v>
      </c>
    </row>
    <row r="43" spans="1:5">
      <c r="A43" s="5" t="s">
        <v>96</v>
      </c>
      <c r="B43">
        <f t="shared" si="0"/>
        <v>41</v>
      </c>
      <c r="C43" t="b">
        <v>0</v>
      </c>
      <c r="D43" t="b">
        <v>1</v>
      </c>
      <c r="E43" t="b">
        <v>1</v>
      </c>
    </row>
    <row r="44" spans="1:5">
      <c r="A44" t="s">
        <v>97</v>
      </c>
      <c r="B44">
        <f t="shared" si="0"/>
        <v>42</v>
      </c>
      <c r="C44" t="b">
        <v>0</v>
      </c>
      <c r="D44" t="b">
        <v>1</v>
      </c>
      <c r="E44" t="b">
        <v>1</v>
      </c>
    </row>
    <row r="45" spans="1:5">
      <c r="A45" s="5" t="s">
        <v>98</v>
      </c>
      <c r="B45">
        <f t="shared" si="0"/>
        <v>43</v>
      </c>
      <c r="C45" t="b">
        <v>0</v>
      </c>
      <c r="D45" t="b">
        <v>1</v>
      </c>
      <c r="E45" t="b">
        <v>1</v>
      </c>
    </row>
    <row r="46" spans="1:5">
      <c r="A46" s="5" t="s">
        <v>99</v>
      </c>
      <c r="B46">
        <f t="shared" si="0"/>
        <v>44</v>
      </c>
      <c r="C46" t="b">
        <v>0</v>
      </c>
      <c r="D46" t="b">
        <v>1</v>
      </c>
      <c r="E46" t="b">
        <v>1</v>
      </c>
    </row>
    <row r="47" spans="1:5">
      <c r="A47" s="5" t="s">
        <v>100</v>
      </c>
      <c r="B47">
        <f t="shared" si="0"/>
        <v>45</v>
      </c>
      <c r="C47" t="b">
        <v>0</v>
      </c>
      <c r="D47" t="b">
        <v>1</v>
      </c>
      <c r="E47" t="b">
        <v>1</v>
      </c>
    </row>
  </sheetData>
  <autoFilter ref="A2:E36" xr:uid="{00000000-0009-0000-0000-000001000000}">
    <sortState ref="A3:E37">
      <sortCondition ref="B2:B33"/>
    </sortState>
  </autoFilter>
  <conditionalFormatting sqref="C3:E47">
    <cfRule type="expression" dxfId="1" priority="1" stopIfTrue="1">
      <formula>C3=TRUE</formula>
    </cfRule>
    <cfRule type="expression" dxfId="0" priority="2">
      <formula>C3=FALSE</formula>
    </cfRule>
  </conditionalFormatting>
  <pageMargins left="0.59055118110236215" right="0.59055118110236215" top="0.59055118110236215" bottom="0.59055118110236215" header="0.31496062992125989" footer="0.31496062992125989"/>
  <pageSetup paperSize="9" fitToHeight="0" orientation="portrait" verticalDpi="0" r:id="rId1"/>
  <headerFooter>
    <oddHeader>&amp;L&amp;07Printed &amp;D &amp;T&amp;C&amp;A</oddHeader>
    <oddFooter>&amp;LFile No.: &amp;F&amp;CDONG Energy Job No.: 2-00065-20&amp;RPage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Picklists">
    <tabColor rgb="FF7030A0"/>
  </sheetPr>
  <dimension ref="A2:M53"/>
  <sheetViews>
    <sheetView zoomScaleNormal="100" workbookViewId="0">
      <pane xSplit="6" ySplit="2" topLeftCell="G3" activePane="bottomRight" state="frozen"/>
      <selection pane="topRight" activeCell="C1" sqref="C1"/>
      <selection pane="bottomLeft" activeCell="A4" sqref="A4"/>
      <selection pane="bottomRight" activeCell="M53" sqref="M53"/>
    </sheetView>
  </sheetViews>
  <sheetFormatPr defaultRowHeight="11.25"/>
  <cols>
    <col min="1" max="1" width="9.140625" style="42"/>
    <col min="2" max="2" width="1" style="42" customWidth="1"/>
    <col min="3" max="3" width="9.140625" style="42"/>
    <col min="4" max="4" width="1" style="42" customWidth="1"/>
    <col min="5" max="5" width="14.140625" style="42" bestFit="1" customWidth="1"/>
    <col min="6" max="6" width="1" style="42" customWidth="1"/>
    <col min="7" max="7" width="26.42578125" style="42" bestFit="1" customWidth="1"/>
    <col min="8" max="8" width="1" style="42" customWidth="1"/>
    <col min="9" max="9" width="45.7109375" style="42" bestFit="1" customWidth="1"/>
    <col min="10" max="10" width="1" style="42" customWidth="1"/>
    <col min="11" max="11" width="20.42578125" style="42" bestFit="1" customWidth="1"/>
    <col min="12" max="12" width="1" style="42" customWidth="1"/>
    <col min="13" max="16384" width="9.140625" style="42"/>
  </cols>
  <sheetData>
    <row r="2" spans="1:13" ht="12.75">
      <c r="A2" s="41" t="s">
        <v>147</v>
      </c>
      <c r="C2" s="43" t="s">
        <v>205</v>
      </c>
      <c r="E2" s="43" t="s">
        <v>148</v>
      </c>
      <c r="G2" s="43" t="s">
        <v>91</v>
      </c>
      <c r="I2" s="43" t="s">
        <v>149</v>
      </c>
      <c r="K2" s="43" t="s">
        <v>203</v>
      </c>
      <c r="M2" s="43" t="s">
        <v>204</v>
      </c>
    </row>
    <row r="3" spans="1:13">
      <c r="C3" s="42" t="s">
        <v>206</v>
      </c>
      <c r="E3" s="42" t="s">
        <v>144</v>
      </c>
      <c r="G3" s="42" t="s">
        <v>146</v>
      </c>
      <c r="I3" s="42" t="s">
        <v>142</v>
      </c>
    </row>
    <row r="4" spans="1:13">
      <c r="C4" s="42" t="s">
        <v>86</v>
      </c>
      <c r="E4" s="42" t="s">
        <v>150</v>
      </c>
      <c r="G4" s="42" t="s">
        <v>151</v>
      </c>
      <c r="I4" s="42" t="s">
        <v>152</v>
      </c>
      <c r="K4" s="42">
        <v>1</v>
      </c>
      <c r="M4" s="42">
        <v>1</v>
      </c>
    </row>
    <row r="5" spans="1:13">
      <c r="E5" s="42" t="s">
        <v>85</v>
      </c>
      <c r="G5" s="42" t="s">
        <v>153</v>
      </c>
      <c r="I5" s="42" t="s">
        <v>154</v>
      </c>
      <c r="K5" s="42">
        <v>0</v>
      </c>
      <c r="M5" s="42">
        <v>0</v>
      </c>
    </row>
    <row r="6" spans="1:13">
      <c r="G6" s="42" t="s">
        <v>155</v>
      </c>
      <c r="I6" s="42" t="s">
        <v>156</v>
      </c>
    </row>
    <row r="7" spans="1:13">
      <c r="G7" s="42" t="s">
        <v>145</v>
      </c>
      <c r="I7" s="42" t="s">
        <v>157</v>
      </c>
    </row>
    <row r="8" spans="1:13">
      <c r="I8" s="42" t="s">
        <v>158</v>
      </c>
    </row>
    <row r="9" spans="1:13">
      <c r="I9" s="42" t="s">
        <v>159</v>
      </c>
    </row>
    <row r="10" spans="1:13">
      <c r="I10" s="42" t="s">
        <v>160</v>
      </c>
    </row>
    <row r="11" spans="1:13">
      <c r="I11" s="42" t="s">
        <v>161</v>
      </c>
    </row>
    <row r="12" spans="1:13">
      <c r="I12" s="42" t="s">
        <v>162</v>
      </c>
    </row>
    <row r="13" spans="1:13">
      <c r="I13" s="42" t="s">
        <v>163</v>
      </c>
    </row>
    <row r="14" spans="1:13">
      <c r="I14" s="42" t="s">
        <v>164</v>
      </c>
    </row>
    <row r="15" spans="1:13">
      <c r="I15" s="42" t="s">
        <v>165</v>
      </c>
    </row>
    <row r="16" spans="1:13">
      <c r="I16" s="42" t="s">
        <v>166</v>
      </c>
    </row>
    <row r="17" spans="9:9">
      <c r="I17" s="42" t="s">
        <v>167</v>
      </c>
    </row>
    <row r="18" spans="9:9">
      <c r="I18" s="42" t="s">
        <v>168</v>
      </c>
    </row>
    <row r="19" spans="9:9">
      <c r="I19" s="42" t="s">
        <v>169</v>
      </c>
    </row>
    <row r="20" spans="9:9">
      <c r="I20" s="42" t="s">
        <v>170</v>
      </c>
    </row>
    <row r="21" spans="9:9">
      <c r="I21" s="42" t="s">
        <v>171</v>
      </c>
    </row>
    <row r="22" spans="9:9">
      <c r="I22" s="42" t="s">
        <v>172</v>
      </c>
    </row>
    <row r="23" spans="9:9">
      <c r="I23" s="42" t="s">
        <v>173</v>
      </c>
    </row>
    <row r="24" spans="9:9">
      <c r="I24" s="42" t="s">
        <v>174</v>
      </c>
    </row>
    <row r="25" spans="9:9">
      <c r="I25" s="42" t="s">
        <v>175</v>
      </c>
    </row>
    <row r="26" spans="9:9">
      <c r="I26" s="42" t="s">
        <v>176</v>
      </c>
    </row>
    <row r="27" spans="9:9">
      <c r="I27" s="42" t="s">
        <v>177</v>
      </c>
    </row>
    <row r="28" spans="9:9">
      <c r="I28" s="42" t="s">
        <v>178</v>
      </c>
    </row>
    <row r="29" spans="9:9">
      <c r="I29" s="42" t="s">
        <v>143</v>
      </c>
    </row>
    <row r="30" spans="9:9">
      <c r="I30" s="42" t="s">
        <v>179</v>
      </c>
    </row>
    <row r="31" spans="9:9">
      <c r="I31" s="42" t="s">
        <v>180</v>
      </c>
    </row>
    <row r="32" spans="9:9">
      <c r="I32" s="42" t="s">
        <v>181</v>
      </c>
    </row>
    <row r="33" spans="9:9">
      <c r="I33" s="42" t="s">
        <v>182</v>
      </c>
    </row>
    <row r="34" spans="9:9">
      <c r="I34" s="42" t="s">
        <v>183</v>
      </c>
    </row>
    <row r="35" spans="9:9">
      <c r="I35" s="42" t="s">
        <v>184</v>
      </c>
    </row>
    <row r="36" spans="9:9">
      <c r="I36" s="42" t="s">
        <v>185</v>
      </c>
    </row>
    <row r="37" spans="9:9">
      <c r="I37" s="42" t="s">
        <v>186</v>
      </c>
    </row>
    <row r="38" spans="9:9">
      <c r="I38" s="42" t="s">
        <v>187</v>
      </c>
    </row>
    <row r="39" spans="9:9">
      <c r="I39" s="42" t="s">
        <v>188</v>
      </c>
    </row>
    <row r="40" spans="9:9">
      <c r="I40" s="42" t="s">
        <v>189</v>
      </c>
    </row>
    <row r="41" spans="9:9">
      <c r="I41" s="42" t="s">
        <v>190</v>
      </c>
    </row>
    <row r="42" spans="9:9">
      <c r="I42" s="42" t="s">
        <v>191</v>
      </c>
    </row>
    <row r="43" spans="9:9">
      <c r="I43" s="42" t="s">
        <v>192</v>
      </c>
    </row>
    <row r="44" spans="9:9">
      <c r="I44" s="42" t="s">
        <v>193</v>
      </c>
    </row>
    <row r="45" spans="9:9">
      <c r="I45" s="42" t="s">
        <v>194</v>
      </c>
    </row>
    <row r="46" spans="9:9">
      <c r="I46" s="42" t="s">
        <v>195</v>
      </c>
    </row>
    <row r="47" spans="9:9">
      <c r="I47" s="42" t="s">
        <v>196</v>
      </c>
    </row>
    <row r="48" spans="9:9">
      <c r="I48" s="42" t="s">
        <v>197</v>
      </c>
    </row>
    <row r="49" spans="9:9">
      <c r="I49" s="42" t="s">
        <v>198</v>
      </c>
    </row>
    <row r="50" spans="9:9">
      <c r="I50" s="42" t="s">
        <v>199</v>
      </c>
    </row>
    <row r="51" spans="9:9">
      <c r="I51" s="42" t="s">
        <v>200</v>
      </c>
    </row>
    <row r="52" spans="9:9">
      <c r="I52" s="42" t="s">
        <v>201</v>
      </c>
    </row>
    <row r="53" spans="9:9">
      <c r="I53" s="42" t="s">
        <v>202</v>
      </c>
    </row>
  </sheetData>
  <printOptions gridLines="1"/>
  <pageMargins left="0.7" right="0.7" top="0.75" bottom="0.75" header="0.3" footer="0.3"/>
  <pageSetup paperSize="9" orientation="portrait" verticalDpi="0" r:id="rId1"/>
  <headerFooter>
    <oddFooter>&amp;LDoc. no. 1322767&amp;RPage &amp;P&amp;C&amp;A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6FAB-4646-47C5-BF73-5FB8FFF7C096}">
  <dimension ref="A1:G650"/>
  <sheetViews>
    <sheetView topLeftCell="A607" workbookViewId="0">
      <selection activeCell="G629" sqref="G629"/>
    </sheetView>
  </sheetViews>
  <sheetFormatPr defaultRowHeight="12.75"/>
  <cols>
    <col min="3" max="4" width="75" bestFit="1" customWidth="1"/>
    <col min="7" max="7" width="40.5703125" bestFit="1" customWidth="1"/>
  </cols>
  <sheetData>
    <row r="1" spans="1:7">
      <c r="A1" s="45"/>
      <c r="C1" t="s">
        <v>249</v>
      </c>
      <c r="D1" t="s">
        <v>250</v>
      </c>
      <c r="E1" t="s">
        <v>251</v>
      </c>
      <c r="F1" t="s">
        <v>252</v>
      </c>
      <c r="G1" t="s">
        <v>253</v>
      </c>
    </row>
    <row r="2" spans="1:7">
      <c r="C2" t="s">
        <v>249</v>
      </c>
      <c r="D2" t="s">
        <v>250</v>
      </c>
      <c r="E2" t="s">
        <v>251</v>
      </c>
      <c r="F2" t="s">
        <v>252</v>
      </c>
      <c r="G2" t="s">
        <v>254</v>
      </c>
    </row>
    <row r="3" spans="1:7">
      <c r="C3" t="s">
        <v>249</v>
      </c>
      <c r="D3" t="s">
        <v>250</v>
      </c>
      <c r="E3" t="s">
        <v>251</v>
      </c>
      <c r="F3" t="s">
        <v>252</v>
      </c>
      <c r="G3" t="s">
        <v>255</v>
      </c>
    </row>
    <row r="4" spans="1:7">
      <c r="C4" t="s">
        <v>249</v>
      </c>
      <c r="D4" t="s">
        <v>250</v>
      </c>
      <c r="E4" t="s">
        <v>251</v>
      </c>
      <c r="F4" t="s">
        <v>252</v>
      </c>
      <c r="G4" t="s">
        <v>256</v>
      </c>
    </row>
    <row r="5" spans="1:7">
      <c r="C5" t="s">
        <v>249</v>
      </c>
      <c r="D5" t="s">
        <v>250</v>
      </c>
      <c r="E5" t="s">
        <v>251</v>
      </c>
      <c r="F5" t="s">
        <v>252</v>
      </c>
      <c r="G5" t="s">
        <v>257</v>
      </c>
    </row>
    <row r="6" spans="1:7">
      <c r="C6" t="s">
        <v>249</v>
      </c>
      <c r="D6" t="s">
        <v>250</v>
      </c>
      <c r="E6" t="s">
        <v>251</v>
      </c>
      <c r="F6" t="s">
        <v>252</v>
      </c>
      <c r="G6" t="s">
        <v>258</v>
      </c>
    </row>
    <row r="7" spans="1:7">
      <c r="C7" t="s">
        <v>249</v>
      </c>
      <c r="D7" t="s">
        <v>250</v>
      </c>
      <c r="E7" t="s">
        <v>251</v>
      </c>
      <c r="F7" t="s">
        <v>252</v>
      </c>
      <c r="G7" t="s">
        <v>259</v>
      </c>
    </row>
    <row r="8" spans="1:7">
      <c r="C8" t="s">
        <v>249</v>
      </c>
      <c r="D8" t="s">
        <v>250</v>
      </c>
      <c r="E8" t="s">
        <v>251</v>
      </c>
      <c r="F8" t="s">
        <v>252</v>
      </c>
      <c r="G8" t="s">
        <v>260</v>
      </c>
    </row>
    <row r="9" spans="1:7">
      <c r="C9" t="s">
        <v>249</v>
      </c>
      <c r="D9" t="s">
        <v>250</v>
      </c>
      <c r="E9" t="s">
        <v>251</v>
      </c>
      <c r="F9" t="s">
        <v>252</v>
      </c>
      <c r="G9" t="s">
        <v>261</v>
      </c>
    </row>
    <row r="10" spans="1:7">
      <c r="C10" t="s">
        <v>249</v>
      </c>
      <c r="D10" t="s">
        <v>250</v>
      </c>
      <c r="E10" t="s">
        <v>251</v>
      </c>
      <c r="F10" t="s">
        <v>252</v>
      </c>
      <c r="G10" t="s">
        <v>262</v>
      </c>
    </row>
    <row r="11" spans="1:7">
      <c r="C11" t="s">
        <v>249</v>
      </c>
      <c r="D11" t="s">
        <v>250</v>
      </c>
      <c r="E11" t="s">
        <v>251</v>
      </c>
      <c r="F11" t="s">
        <v>252</v>
      </c>
      <c r="G11" t="s">
        <v>263</v>
      </c>
    </row>
    <row r="12" spans="1:7">
      <c r="C12" t="s">
        <v>249</v>
      </c>
      <c r="D12" t="s">
        <v>250</v>
      </c>
      <c r="E12" t="s">
        <v>251</v>
      </c>
      <c r="F12" t="s">
        <v>252</v>
      </c>
      <c r="G12" t="s">
        <v>264</v>
      </c>
    </row>
    <row r="13" spans="1:7">
      <c r="C13" t="s">
        <v>249</v>
      </c>
      <c r="D13" t="s">
        <v>250</v>
      </c>
      <c r="E13" t="s">
        <v>251</v>
      </c>
      <c r="F13" t="s">
        <v>252</v>
      </c>
      <c r="G13" t="s">
        <v>265</v>
      </c>
    </row>
    <row r="14" spans="1:7">
      <c r="C14" t="s">
        <v>249</v>
      </c>
      <c r="D14" t="s">
        <v>250</v>
      </c>
      <c r="E14" t="s">
        <v>251</v>
      </c>
      <c r="F14" t="s">
        <v>252</v>
      </c>
      <c r="G14" t="s">
        <v>266</v>
      </c>
    </row>
    <row r="15" spans="1:7">
      <c r="C15" t="s">
        <v>249</v>
      </c>
      <c r="D15" t="s">
        <v>250</v>
      </c>
      <c r="E15" t="s">
        <v>251</v>
      </c>
      <c r="F15" t="s">
        <v>252</v>
      </c>
      <c r="G15" t="s">
        <v>267</v>
      </c>
    </row>
    <row r="16" spans="1:7">
      <c r="C16" t="s">
        <v>249</v>
      </c>
      <c r="D16" t="s">
        <v>250</v>
      </c>
      <c r="E16" t="s">
        <v>251</v>
      </c>
      <c r="F16" t="s">
        <v>252</v>
      </c>
      <c r="G16" t="s">
        <v>268</v>
      </c>
    </row>
    <row r="17" spans="3:7">
      <c r="C17" t="s">
        <v>249</v>
      </c>
      <c r="D17" t="s">
        <v>250</v>
      </c>
      <c r="E17" t="s">
        <v>251</v>
      </c>
      <c r="F17" t="s">
        <v>252</v>
      </c>
      <c r="G17" t="s">
        <v>269</v>
      </c>
    </row>
    <row r="18" spans="3:7">
      <c r="C18" t="s">
        <v>249</v>
      </c>
      <c r="D18" t="s">
        <v>250</v>
      </c>
      <c r="E18" t="s">
        <v>251</v>
      </c>
      <c r="F18" t="s">
        <v>252</v>
      </c>
      <c r="G18" t="s">
        <v>270</v>
      </c>
    </row>
    <row r="19" spans="3:7">
      <c r="C19" t="s">
        <v>249</v>
      </c>
      <c r="D19" t="s">
        <v>250</v>
      </c>
      <c r="E19" t="s">
        <v>251</v>
      </c>
      <c r="F19" t="s">
        <v>252</v>
      </c>
      <c r="G19" t="s">
        <v>271</v>
      </c>
    </row>
    <row r="20" spans="3:7">
      <c r="C20" t="s">
        <v>249</v>
      </c>
      <c r="D20" t="s">
        <v>250</v>
      </c>
      <c r="E20" t="s">
        <v>251</v>
      </c>
      <c r="F20" t="s">
        <v>252</v>
      </c>
      <c r="G20" t="s">
        <v>272</v>
      </c>
    </row>
    <row r="21" spans="3:7">
      <c r="C21" t="s">
        <v>249</v>
      </c>
      <c r="D21" t="s">
        <v>250</v>
      </c>
      <c r="E21" t="s">
        <v>251</v>
      </c>
      <c r="F21" t="s">
        <v>252</v>
      </c>
      <c r="G21" t="s">
        <v>273</v>
      </c>
    </row>
    <row r="22" spans="3:7">
      <c r="C22" t="s">
        <v>249</v>
      </c>
      <c r="D22" t="s">
        <v>250</v>
      </c>
      <c r="E22" t="s">
        <v>251</v>
      </c>
      <c r="F22" t="s">
        <v>252</v>
      </c>
      <c r="G22" t="s">
        <v>274</v>
      </c>
    </row>
    <row r="23" spans="3:7">
      <c r="C23" t="s">
        <v>249</v>
      </c>
      <c r="D23" t="s">
        <v>250</v>
      </c>
      <c r="E23" t="s">
        <v>251</v>
      </c>
      <c r="F23" t="s">
        <v>252</v>
      </c>
      <c r="G23" t="s">
        <v>275</v>
      </c>
    </row>
    <row r="24" spans="3:7">
      <c r="C24" t="s">
        <v>249</v>
      </c>
      <c r="D24" t="s">
        <v>250</v>
      </c>
      <c r="E24" t="s">
        <v>251</v>
      </c>
      <c r="F24" t="s">
        <v>252</v>
      </c>
      <c r="G24" t="s">
        <v>276</v>
      </c>
    </row>
    <row r="25" spans="3:7">
      <c r="C25" t="s">
        <v>249</v>
      </c>
      <c r="D25" t="s">
        <v>250</v>
      </c>
      <c r="E25" t="s">
        <v>251</v>
      </c>
      <c r="F25" t="s">
        <v>252</v>
      </c>
      <c r="G25" t="s">
        <v>277</v>
      </c>
    </row>
    <row r="26" spans="3:7">
      <c r="C26" t="s">
        <v>249</v>
      </c>
      <c r="D26" t="s">
        <v>250</v>
      </c>
      <c r="E26" t="s">
        <v>251</v>
      </c>
      <c r="F26" t="s">
        <v>252</v>
      </c>
      <c r="G26" t="s">
        <v>278</v>
      </c>
    </row>
    <row r="27" spans="3:7">
      <c r="C27" t="s">
        <v>249</v>
      </c>
      <c r="D27" t="s">
        <v>250</v>
      </c>
      <c r="E27" t="s">
        <v>251</v>
      </c>
      <c r="F27" t="s">
        <v>252</v>
      </c>
      <c r="G27" t="s">
        <v>279</v>
      </c>
    </row>
    <row r="28" spans="3:7">
      <c r="C28" t="s">
        <v>249</v>
      </c>
      <c r="D28" t="s">
        <v>250</v>
      </c>
      <c r="E28" t="s">
        <v>251</v>
      </c>
      <c r="F28" t="s">
        <v>252</v>
      </c>
      <c r="G28" t="s">
        <v>280</v>
      </c>
    </row>
    <row r="29" spans="3:7">
      <c r="C29" t="s">
        <v>249</v>
      </c>
      <c r="D29" t="s">
        <v>250</v>
      </c>
      <c r="E29" t="s">
        <v>251</v>
      </c>
      <c r="F29" t="s">
        <v>252</v>
      </c>
      <c r="G29" t="s">
        <v>281</v>
      </c>
    </row>
    <row r="30" spans="3:7">
      <c r="C30" t="s">
        <v>249</v>
      </c>
      <c r="D30" t="s">
        <v>250</v>
      </c>
      <c r="E30" t="s">
        <v>251</v>
      </c>
      <c r="F30" t="s">
        <v>252</v>
      </c>
      <c r="G30" t="s">
        <v>282</v>
      </c>
    </row>
    <row r="31" spans="3:7">
      <c r="C31" t="s">
        <v>249</v>
      </c>
      <c r="D31" t="s">
        <v>250</v>
      </c>
      <c r="E31" t="s">
        <v>251</v>
      </c>
      <c r="F31" t="s">
        <v>252</v>
      </c>
      <c r="G31" t="s">
        <v>283</v>
      </c>
    </row>
    <row r="32" spans="3:7">
      <c r="C32" t="s">
        <v>249</v>
      </c>
      <c r="D32" t="s">
        <v>250</v>
      </c>
      <c r="E32" t="s">
        <v>251</v>
      </c>
      <c r="F32" t="s">
        <v>252</v>
      </c>
      <c r="G32" t="s">
        <v>284</v>
      </c>
    </row>
    <row r="33" spans="3:7">
      <c r="C33" t="s">
        <v>249</v>
      </c>
      <c r="D33" t="s">
        <v>250</v>
      </c>
      <c r="E33" t="s">
        <v>251</v>
      </c>
      <c r="F33" t="s">
        <v>252</v>
      </c>
      <c r="G33" t="s">
        <v>285</v>
      </c>
    </row>
    <row r="34" spans="3:7">
      <c r="C34" t="s">
        <v>249</v>
      </c>
      <c r="D34" t="s">
        <v>250</v>
      </c>
      <c r="E34" t="s">
        <v>251</v>
      </c>
      <c r="F34" t="s">
        <v>252</v>
      </c>
      <c r="G34" t="s">
        <v>286</v>
      </c>
    </row>
    <row r="35" spans="3:7">
      <c r="C35" t="s">
        <v>249</v>
      </c>
      <c r="D35" t="s">
        <v>250</v>
      </c>
      <c r="E35" t="s">
        <v>251</v>
      </c>
      <c r="F35" t="s">
        <v>252</v>
      </c>
      <c r="G35" t="s">
        <v>287</v>
      </c>
    </row>
    <row r="36" spans="3:7">
      <c r="C36" t="s">
        <v>249</v>
      </c>
      <c r="D36" t="s">
        <v>250</v>
      </c>
      <c r="E36" t="s">
        <v>251</v>
      </c>
      <c r="F36" t="s">
        <v>252</v>
      </c>
      <c r="G36" t="s">
        <v>288</v>
      </c>
    </row>
    <row r="37" spans="3:7">
      <c r="C37" t="s">
        <v>249</v>
      </c>
      <c r="D37" t="s">
        <v>250</v>
      </c>
      <c r="E37" t="s">
        <v>251</v>
      </c>
      <c r="F37" t="s">
        <v>252</v>
      </c>
      <c r="G37" t="s">
        <v>289</v>
      </c>
    </row>
    <row r="38" spans="3:7">
      <c r="C38" t="s">
        <v>249</v>
      </c>
      <c r="D38" t="s">
        <v>250</v>
      </c>
      <c r="E38" t="s">
        <v>251</v>
      </c>
      <c r="F38" t="s">
        <v>252</v>
      </c>
      <c r="G38" t="s">
        <v>290</v>
      </c>
    </row>
    <row r="39" spans="3:7">
      <c r="C39" t="s">
        <v>249</v>
      </c>
      <c r="D39" t="s">
        <v>250</v>
      </c>
      <c r="E39" t="s">
        <v>251</v>
      </c>
      <c r="F39" t="s">
        <v>252</v>
      </c>
      <c r="G39" t="s">
        <v>291</v>
      </c>
    </row>
    <row r="40" spans="3:7">
      <c r="C40" t="s">
        <v>249</v>
      </c>
      <c r="D40" t="s">
        <v>250</v>
      </c>
      <c r="E40" t="s">
        <v>251</v>
      </c>
      <c r="F40" t="s">
        <v>252</v>
      </c>
      <c r="G40" t="s">
        <v>292</v>
      </c>
    </row>
    <row r="41" spans="3:7">
      <c r="C41" t="s">
        <v>249</v>
      </c>
      <c r="D41" t="s">
        <v>250</v>
      </c>
      <c r="E41" t="s">
        <v>251</v>
      </c>
      <c r="F41" t="s">
        <v>252</v>
      </c>
      <c r="G41" t="s">
        <v>293</v>
      </c>
    </row>
    <row r="42" spans="3:7">
      <c r="C42" t="s">
        <v>249</v>
      </c>
      <c r="D42" t="s">
        <v>250</v>
      </c>
      <c r="E42" t="s">
        <v>251</v>
      </c>
      <c r="F42" t="s">
        <v>252</v>
      </c>
      <c r="G42" t="s">
        <v>294</v>
      </c>
    </row>
    <row r="43" spans="3:7">
      <c r="C43" t="s">
        <v>249</v>
      </c>
      <c r="D43" t="s">
        <v>250</v>
      </c>
      <c r="E43" t="s">
        <v>251</v>
      </c>
      <c r="F43" t="s">
        <v>252</v>
      </c>
      <c r="G43" t="s">
        <v>295</v>
      </c>
    </row>
    <row r="44" spans="3:7">
      <c r="C44" t="s">
        <v>249</v>
      </c>
      <c r="D44" t="s">
        <v>250</v>
      </c>
      <c r="E44" t="s">
        <v>251</v>
      </c>
      <c r="F44" t="s">
        <v>252</v>
      </c>
      <c r="G44" t="s">
        <v>296</v>
      </c>
    </row>
    <row r="45" spans="3:7">
      <c r="C45" t="s">
        <v>249</v>
      </c>
      <c r="D45" t="s">
        <v>250</v>
      </c>
      <c r="E45" t="s">
        <v>251</v>
      </c>
      <c r="F45" t="s">
        <v>252</v>
      </c>
      <c r="G45" t="s">
        <v>297</v>
      </c>
    </row>
    <row r="46" spans="3:7">
      <c r="C46" t="s">
        <v>249</v>
      </c>
      <c r="D46" t="s">
        <v>250</v>
      </c>
      <c r="E46" t="s">
        <v>251</v>
      </c>
      <c r="F46" t="s">
        <v>252</v>
      </c>
      <c r="G46" t="s">
        <v>298</v>
      </c>
    </row>
    <row r="47" spans="3:7">
      <c r="C47" t="s">
        <v>249</v>
      </c>
      <c r="D47" t="s">
        <v>250</v>
      </c>
      <c r="E47" t="s">
        <v>251</v>
      </c>
      <c r="F47" t="s">
        <v>252</v>
      </c>
      <c r="G47" t="s">
        <v>299</v>
      </c>
    </row>
    <row r="48" spans="3:7">
      <c r="C48" t="s">
        <v>249</v>
      </c>
      <c r="D48" t="s">
        <v>250</v>
      </c>
      <c r="E48" t="s">
        <v>251</v>
      </c>
      <c r="F48" t="s">
        <v>252</v>
      </c>
      <c r="G48" t="s">
        <v>300</v>
      </c>
    </row>
    <row r="49" spans="3:7">
      <c r="C49" t="s">
        <v>249</v>
      </c>
      <c r="D49" t="s">
        <v>250</v>
      </c>
      <c r="E49" t="s">
        <v>251</v>
      </c>
      <c r="F49" t="s">
        <v>252</v>
      </c>
      <c r="G49" t="s">
        <v>301</v>
      </c>
    </row>
    <row r="50" spans="3:7">
      <c r="C50" t="s">
        <v>249</v>
      </c>
      <c r="D50" t="s">
        <v>250</v>
      </c>
      <c r="E50" t="s">
        <v>251</v>
      </c>
      <c r="F50" t="s">
        <v>252</v>
      </c>
      <c r="G50" t="s">
        <v>302</v>
      </c>
    </row>
    <row r="51" spans="3:7">
      <c r="C51" t="s">
        <v>249</v>
      </c>
      <c r="D51" t="s">
        <v>250</v>
      </c>
      <c r="E51" t="s">
        <v>251</v>
      </c>
      <c r="F51" t="s">
        <v>252</v>
      </c>
      <c r="G51" t="s">
        <v>303</v>
      </c>
    </row>
    <row r="52" spans="3:7">
      <c r="C52" t="s">
        <v>249</v>
      </c>
      <c r="D52" t="s">
        <v>250</v>
      </c>
      <c r="E52" t="s">
        <v>251</v>
      </c>
      <c r="F52" t="s">
        <v>252</v>
      </c>
      <c r="G52" t="s">
        <v>304</v>
      </c>
    </row>
    <row r="53" spans="3:7">
      <c r="C53" t="s">
        <v>249</v>
      </c>
      <c r="D53" t="s">
        <v>250</v>
      </c>
      <c r="E53" t="s">
        <v>251</v>
      </c>
      <c r="F53" t="s">
        <v>252</v>
      </c>
      <c r="G53" t="s">
        <v>305</v>
      </c>
    </row>
    <row r="54" spans="3:7">
      <c r="C54" t="s">
        <v>249</v>
      </c>
      <c r="D54" t="s">
        <v>250</v>
      </c>
      <c r="E54" t="s">
        <v>251</v>
      </c>
      <c r="F54" t="s">
        <v>252</v>
      </c>
      <c r="G54" t="s">
        <v>306</v>
      </c>
    </row>
    <row r="55" spans="3:7">
      <c r="C55" t="s">
        <v>249</v>
      </c>
      <c r="D55" t="s">
        <v>250</v>
      </c>
      <c r="E55" t="s">
        <v>251</v>
      </c>
      <c r="F55" t="s">
        <v>252</v>
      </c>
      <c r="G55" t="s">
        <v>307</v>
      </c>
    </row>
    <row r="56" spans="3:7">
      <c r="C56" t="s">
        <v>249</v>
      </c>
      <c r="D56" t="s">
        <v>250</v>
      </c>
      <c r="E56" t="s">
        <v>251</v>
      </c>
      <c r="F56" t="s">
        <v>252</v>
      </c>
      <c r="G56" t="s">
        <v>308</v>
      </c>
    </row>
    <row r="57" spans="3:7">
      <c r="C57" t="s">
        <v>249</v>
      </c>
      <c r="D57" t="s">
        <v>250</v>
      </c>
      <c r="E57" t="s">
        <v>251</v>
      </c>
      <c r="F57" t="s">
        <v>252</v>
      </c>
      <c r="G57" t="s">
        <v>309</v>
      </c>
    </row>
    <row r="58" spans="3:7">
      <c r="C58" t="s">
        <v>249</v>
      </c>
      <c r="D58" t="s">
        <v>250</v>
      </c>
      <c r="E58" t="s">
        <v>251</v>
      </c>
      <c r="F58" t="s">
        <v>252</v>
      </c>
      <c r="G58" t="s">
        <v>310</v>
      </c>
    </row>
    <row r="59" spans="3:7">
      <c r="C59" t="s">
        <v>249</v>
      </c>
      <c r="D59" t="s">
        <v>250</v>
      </c>
      <c r="E59" t="s">
        <v>251</v>
      </c>
      <c r="F59" t="s">
        <v>252</v>
      </c>
      <c r="G59" t="s">
        <v>311</v>
      </c>
    </row>
    <row r="60" spans="3:7">
      <c r="C60" t="s">
        <v>249</v>
      </c>
      <c r="D60" t="s">
        <v>250</v>
      </c>
      <c r="E60" t="s">
        <v>251</v>
      </c>
      <c r="F60" t="s">
        <v>252</v>
      </c>
      <c r="G60" t="s">
        <v>312</v>
      </c>
    </row>
    <row r="61" spans="3:7">
      <c r="C61" t="s">
        <v>249</v>
      </c>
      <c r="D61" t="s">
        <v>250</v>
      </c>
      <c r="E61" t="s">
        <v>251</v>
      </c>
      <c r="F61" t="s">
        <v>252</v>
      </c>
      <c r="G61" t="s">
        <v>313</v>
      </c>
    </row>
    <row r="62" spans="3:7">
      <c r="C62" t="s">
        <v>249</v>
      </c>
      <c r="D62" t="s">
        <v>250</v>
      </c>
      <c r="E62" t="s">
        <v>251</v>
      </c>
      <c r="F62" t="s">
        <v>252</v>
      </c>
      <c r="G62" t="s">
        <v>314</v>
      </c>
    </row>
    <row r="63" spans="3:7">
      <c r="C63" t="s">
        <v>249</v>
      </c>
      <c r="D63" t="s">
        <v>250</v>
      </c>
      <c r="E63" t="s">
        <v>251</v>
      </c>
      <c r="F63" t="s">
        <v>252</v>
      </c>
      <c r="G63" t="s">
        <v>315</v>
      </c>
    </row>
    <row r="64" spans="3:7">
      <c r="C64" t="s">
        <v>249</v>
      </c>
      <c r="D64" t="s">
        <v>250</v>
      </c>
      <c r="E64" t="s">
        <v>251</v>
      </c>
      <c r="F64" t="s">
        <v>252</v>
      </c>
      <c r="G64" t="s">
        <v>316</v>
      </c>
    </row>
    <row r="65" spans="3:7">
      <c r="C65" t="s">
        <v>249</v>
      </c>
      <c r="D65" t="s">
        <v>250</v>
      </c>
      <c r="E65" t="s">
        <v>251</v>
      </c>
      <c r="F65" t="s">
        <v>252</v>
      </c>
      <c r="G65" t="s">
        <v>317</v>
      </c>
    </row>
    <row r="66" spans="3:7">
      <c r="C66" t="s">
        <v>249</v>
      </c>
      <c r="D66" t="s">
        <v>250</v>
      </c>
      <c r="E66" t="s">
        <v>251</v>
      </c>
      <c r="F66" t="s">
        <v>252</v>
      </c>
      <c r="G66" t="s">
        <v>318</v>
      </c>
    </row>
    <row r="67" spans="3:7">
      <c r="C67" t="s">
        <v>249</v>
      </c>
      <c r="D67" t="s">
        <v>250</v>
      </c>
      <c r="E67" t="s">
        <v>251</v>
      </c>
      <c r="F67" t="s">
        <v>252</v>
      </c>
      <c r="G67" t="s">
        <v>319</v>
      </c>
    </row>
    <row r="68" spans="3:7">
      <c r="C68" t="s">
        <v>249</v>
      </c>
      <c r="D68" t="s">
        <v>250</v>
      </c>
      <c r="E68" t="s">
        <v>251</v>
      </c>
      <c r="F68" t="s">
        <v>252</v>
      </c>
      <c r="G68" t="s">
        <v>320</v>
      </c>
    </row>
    <row r="69" spans="3:7">
      <c r="C69" t="s">
        <v>249</v>
      </c>
      <c r="D69" t="s">
        <v>250</v>
      </c>
      <c r="E69" t="s">
        <v>251</v>
      </c>
      <c r="F69" t="s">
        <v>252</v>
      </c>
      <c r="G69" t="s">
        <v>321</v>
      </c>
    </row>
    <row r="70" spans="3:7">
      <c r="C70" t="s">
        <v>249</v>
      </c>
      <c r="D70" t="s">
        <v>250</v>
      </c>
      <c r="E70" t="s">
        <v>251</v>
      </c>
      <c r="F70" t="s">
        <v>252</v>
      </c>
      <c r="G70" t="s">
        <v>322</v>
      </c>
    </row>
    <row r="71" spans="3:7">
      <c r="C71" t="s">
        <v>249</v>
      </c>
      <c r="D71" t="s">
        <v>250</v>
      </c>
      <c r="E71" t="s">
        <v>251</v>
      </c>
      <c r="F71" t="s">
        <v>252</v>
      </c>
      <c r="G71" t="s">
        <v>323</v>
      </c>
    </row>
    <row r="72" spans="3:7">
      <c r="C72" t="s">
        <v>249</v>
      </c>
      <c r="D72" t="s">
        <v>250</v>
      </c>
      <c r="E72" t="s">
        <v>251</v>
      </c>
      <c r="F72" t="s">
        <v>252</v>
      </c>
      <c r="G72" t="s">
        <v>324</v>
      </c>
    </row>
    <row r="73" spans="3:7">
      <c r="C73" t="s">
        <v>249</v>
      </c>
      <c r="D73" t="s">
        <v>250</v>
      </c>
      <c r="E73" t="s">
        <v>251</v>
      </c>
      <c r="F73" t="s">
        <v>252</v>
      </c>
      <c r="G73" t="s">
        <v>325</v>
      </c>
    </row>
    <row r="74" spans="3:7">
      <c r="C74" t="s">
        <v>249</v>
      </c>
      <c r="D74" t="s">
        <v>250</v>
      </c>
      <c r="E74" t="s">
        <v>251</v>
      </c>
      <c r="F74" t="s">
        <v>252</v>
      </c>
      <c r="G74" t="s">
        <v>326</v>
      </c>
    </row>
    <row r="75" spans="3:7">
      <c r="C75" t="s">
        <v>249</v>
      </c>
      <c r="D75" t="s">
        <v>250</v>
      </c>
      <c r="E75" t="s">
        <v>251</v>
      </c>
      <c r="F75" t="s">
        <v>252</v>
      </c>
      <c r="G75" t="s">
        <v>327</v>
      </c>
    </row>
    <row r="76" spans="3:7">
      <c r="C76" t="s">
        <v>249</v>
      </c>
      <c r="D76" t="s">
        <v>250</v>
      </c>
      <c r="E76" t="s">
        <v>251</v>
      </c>
      <c r="F76" t="s">
        <v>252</v>
      </c>
      <c r="G76" t="s">
        <v>328</v>
      </c>
    </row>
    <row r="77" spans="3:7">
      <c r="C77" t="s">
        <v>249</v>
      </c>
      <c r="D77" t="s">
        <v>250</v>
      </c>
      <c r="E77" t="s">
        <v>251</v>
      </c>
      <c r="F77" t="s">
        <v>252</v>
      </c>
      <c r="G77" t="s">
        <v>329</v>
      </c>
    </row>
    <row r="78" spans="3:7">
      <c r="C78" t="s">
        <v>249</v>
      </c>
      <c r="D78" t="s">
        <v>250</v>
      </c>
      <c r="E78" t="s">
        <v>251</v>
      </c>
      <c r="F78" t="s">
        <v>252</v>
      </c>
      <c r="G78" t="s">
        <v>330</v>
      </c>
    </row>
    <row r="79" spans="3:7">
      <c r="C79" t="s">
        <v>249</v>
      </c>
      <c r="D79" t="s">
        <v>250</v>
      </c>
      <c r="E79" t="s">
        <v>251</v>
      </c>
      <c r="F79" t="s">
        <v>252</v>
      </c>
      <c r="G79" t="s">
        <v>331</v>
      </c>
    </row>
    <row r="80" spans="3:7">
      <c r="C80" t="s">
        <v>249</v>
      </c>
      <c r="D80" t="s">
        <v>250</v>
      </c>
      <c r="E80" t="s">
        <v>251</v>
      </c>
      <c r="F80" t="s">
        <v>252</v>
      </c>
      <c r="G80" t="s">
        <v>332</v>
      </c>
    </row>
    <row r="81" spans="3:7">
      <c r="C81" t="s">
        <v>249</v>
      </c>
      <c r="D81" t="s">
        <v>250</v>
      </c>
      <c r="E81" t="s">
        <v>251</v>
      </c>
      <c r="F81" t="s">
        <v>252</v>
      </c>
      <c r="G81" t="s">
        <v>333</v>
      </c>
    </row>
    <row r="82" spans="3:7">
      <c r="C82" t="s">
        <v>249</v>
      </c>
      <c r="D82" t="s">
        <v>250</v>
      </c>
      <c r="E82" t="s">
        <v>251</v>
      </c>
      <c r="F82" t="s">
        <v>252</v>
      </c>
      <c r="G82" t="s">
        <v>334</v>
      </c>
    </row>
    <row r="83" spans="3:7">
      <c r="C83" t="s">
        <v>249</v>
      </c>
      <c r="D83" t="s">
        <v>250</v>
      </c>
      <c r="E83" t="s">
        <v>251</v>
      </c>
      <c r="F83" t="s">
        <v>252</v>
      </c>
      <c r="G83" t="s">
        <v>335</v>
      </c>
    </row>
    <row r="84" spans="3:7">
      <c r="C84" t="s">
        <v>249</v>
      </c>
      <c r="D84" t="s">
        <v>250</v>
      </c>
      <c r="E84" t="s">
        <v>251</v>
      </c>
      <c r="F84" t="s">
        <v>252</v>
      </c>
      <c r="G84" t="s">
        <v>336</v>
      </c>
    </row>
    <row r="85" spans="3:7">
      <c r="C85" t="s">
        <v>249</v>
      </c>
      <c r="D85" t="s">
        <v>250</v>
      </c>
      <c r="E85" t="s">
        <v>251</v>
      </c>
      <c r="F85" t="s">
        <v>252</v>
      </c>
      <c r="G85" t="s">
        <v>337</v>
      </c>
    </row>
    <row r="86" spans="3:7">
      <c r="C86" t="s">
        <v>249</v>
      </c>
      <c r="D86" t="s">
        <v>250</v>
      </c>
      <c r="E86" t="s">
        <v>251</v>
      </c>
      <c r="F86" t="s">
        <v>252</v>
      </c>
      <c r="G86" t="s">
        <v>338</v>
      </c>
    </row>
    <row r="87" spans="3:7">
      <c r="C87" t="s">
        <v>249</v>
      </c>
      <c r="D87" t="s">
        <v>250</v>
      </c>
      <c r="E87" t="s">
        <v>251</v>
      </c>
      <c r="F87" t="s">
        <v>252</v>
      </c>
      <c r="G87" t="s">
        <v>339</v>
      </c>
    </row>
    <row r="88" spans="3:7">
      <c r="C88" t="s">
        <v>249</v>
      </c>
      <c r="D88" t="s">
        <v>250</v>
      </c>
      <c r="E88" t="s">
        <v>251</v>
      </c>
      <c r="F88" t="s">
        <v>252</v>
      </c>
      <c r="G88" t="s">
        <v>340</v>
      </c>
    </row>
    <row r="89" spans="3:7">
      <c r="C89" t="s">
        <v>249</v>
      </c>
      <c r="D89" t="s">
        <v>250</v>
      </c>
      <c r="E89" t="s">
        <v>251</v>
      </c>
      <c r="F89" t="s">
        <v>252</v>
      </c>
      <c r="G89" t="s">
        <v>341</v>
      </c>
    </row>
    <row r="90" spans="3:7">
      <c r="C90" t="s">
        <v>249</v>
      </c>
      <c r="D90" t="s">
        <v>250</v>
      </c>
      <c r="E90" t="s">
        <v>251</v>
      </c>
      <c r="F90" t="s">
        <v>252</v>
      </c>
      <c r="G90" t="s">
        <v>342</v>
      </c>
    </row>
    <row r="91" spans="3:7">
      <c r="C91" t="s">
        <v>249</v>
      </c>
      <c r="D91" t="s">
        <v>250</v>
      </c>
      <c r="E91" t="s">
        <v>251</v>
      </c>
      <c r="F91" t="s">
        <v>252</v>
      </c>
      <c r="G91" t="s">
        <v>343</v>
      </c>
    </row>
    <row r="92" spans="3:7">
      <c r="C92" t="s">
        <v>249</v>
      </c>
      <c r="D92" t="s">
        <v>250</v>
      </c>
      <c r="E92" t="s">
        <v>251</v>
      </c>
      <c r="F92" t="s">
        <v>252</v>
      </c>
      <c r="G92" t="s">
        <v>344</v>
      </c>
    </row>
    <row r="93" spans="3:7">
      <c r="C93" t="s">
        <v>249</v>
      </c>
      <c r="D93" t="s">
        <v>250</v>
      </c>
      <c r="E93" t="s">
        <v>251</v>
      </c>
      <c r="F93" t="s">
        <v>252</v>
      </c>
      <c r="G93" t="s">
        <v>345</v>
      </c>
    </row>
    <row r="94" spans="3:7">
      <c r="C94" t="s">
        <v>249</v>
      </c>
      <c r="D94" t="s">
        <v>250</v>
      </c>
      <c r="E94" t="s">
        <v>251</v>
      </c>
      <c r="F94" t="s">
        <v>252</v>
      </c>
      <c r="G94" t="s">
        <v>346</v>
      </c>
    </row>
    <row r="95" spans="3:7">
      <c r="C95" t="s">
        <v>249</v>
      </c>
      <c r="D95" t="s">
        <v>250</v>
      </c>
      <c r="E95" t="s">
        <v>251</v>
      </c>
      <c r="F95" t="s">
        <v>252</v>
      </c>
      <c r="G95" t="s">
        <v>347</v>
      </c>
    </row>
    <row r="96" spans="3:7">
      <c r="C96" t="s">
        <v>249</v>
      </c>
      <c r="D96" t="s">
        <v>250</v>
      </c>
      <c r="E96" t="s">
        <v>251</v>
      </c>
      <c r="F96" t="s">
        <v>252</v>
      </c>
      <c r="G96" t="s">
        <v>348</v>
      </c>
    </row>
    <row r="97" spans="3:7">
      <c r="C97" t="s">
        <v>249</v>
      </c>
      <c r="D97" t="s">
        <v>250</v>
      </c>
      <c r="E97" t="s">
        <v>251</v>
      </c>
      <c r="F97" t="s">
        <v>252</v>
      </c>
      <c r="G97" t="s">
        <v>349</v>
      </c>
    </row>
    <row r="98" spans="3:7">
      <c r="C98" t="s">
        <v>249</v>
      </c>
      <c r="D98" t="s">
        <v>250</v>
      </c>
      <c r="E98" t="s">
        <v>251</v>
      </c>
      <c r="F98" t="s">
        <v>252</v>
      </c>
      <c r="G98" t="s">
        <v>350</v>
      </c>
    </row>
    <row r="99" spans="3:7">
      <c r="C99" t="s">
        <v>249</v>
      </c>
      <c r="D99" t="s">
        <v>250</v>
      </c>
      <c r="E99" t="s">
        <v>251</v>
      </c>
      <c r="F99" t="s">
        <v>252</v>
      </c>
      <c r="G99" t="s">
        <v>351</v>
      </c>
    </row>
    <row r="100" spans="3:7">
      <c r="C100" t="s">
        <v>249</v>
      </c>
      <c r="D100" t="s">
        <v>250</v>
      </c>
      <c r="E100" t="s">
        <v>251</v>
      </c>
      <c r="F100" t="s">
        <v>252</v>
      </c>
      <c r="G100" t="s">
        <v>352</v>
      </c>
    </row>
    <row r="101" spans="3:7">
      <c r="C101" t="s">
        <v>249</v>
      </c>
      <c r="D101" t="s">
        <v>250</v>
      </c>
      <c r="E101" t="s">
        <v>251</v>
      </c>
      <c r="F101" t="s">
        <v>252</v>
      </c>
      <c r="G101" t="s">
        <v>353</v>
      </c>
    </row>
    <row r="102" spans="3:7">
      <c r="C102" t="s">
        <v>249</v>
      </c>
      <c r="D102" t="s">
        <v>250</v>
      </c>
      <c r="E102" t="s">
        <v>251</v>
      </c>
      <c r="F102" t="s">
        <v>252</v>
      </c>
      <c r="G102" t="s">
        <v>354</v>
      </c>
    </row>
    <row r="103" spans="3:7">
      <c r="C103" t="s">
        <v>249</v>
      </c>
      <c r="D103" t="s">
        <v>250</v>
      </c>
      <c r="E103" t="s">
        <v>251</v>
      </c>
      <c r="F103" t="s">
        <v>252</v>
      </c>
      <c r="G103" t="s">
        <v>355</v>
      </c>
    </row>
    <row r="104" spans="3:7">
      <c r="C104" t="s">
        <v>249</v>
      </c>
      <c r="D104" t="s">
        <v>250</v>
      </c>
      <c r="E104" t="s">
        <v>251</v>
      </c>
      <c r="F104" t="s">
        <v>252</v>
      </c>
      <c r="G104" t="s">
        <v>356</v>
      </c>
    </row>
    <row r="105" spans="3:7">
      <c r="C105" t="s">
        <v>249</v>
      </c>
      <c r="D105" t="s">
        <v>250</v>
      </c>
      <c r="E105" t="s">
        <v>251</v>
      </c>
      <c r="F105" t="s">
        <v>252</v>
      </c>
      <c r="G105" t="s">
        <v>357</v>
      </c>
    </row>
    <row r="106" spans="3:7">
      <c r="C106" t="s">
        <v>249</v>
      </c>
      <c r="D106" t="s">
        <v>250</v>
      </c>
      <c r="E106" t="s">
        <v>251</v>
      </c>
      <c r="F106" t="s">
        <v>252</v>
      </c>
      <c r="G106" t="s">
        <v>358</v>
      </c>
    </row>
    <row r="107" spans="3:7">
      <c r="C107" t="s">
        <v>249</v>
      </c>
      <c r="D107" t="s">
        <v>250</v>
      </c>
      <c r="E107" t="s">
        <v>251</v>
      </c>
      <c r="F107" t="s">
        <v>252</v>
      </c>
      <c r="G107" t="s">
        <v>359</v>
      </c>
    </row>
    <row r="108" spans="3:7">
      <c r="C108" t="s">
        <v>249</v>
      </c>
      <c r="D108" t="s">
        <v>250</v>
      </c>
      <c r="E108" t="s">
        <v>251</v>
      </c>
      <c r="F108" t="s">
        <v>252</v>
      </c>
      <c r="G108" t="s">
        <v>360</v>
      </c>
    </row>
    <row r="109" spans="3:7">
      <c r="C109" t="s">
        <v>249</v>
      </c>
      <c r="D109" t="s">
        <v>250</v>
      </c>
      <c r="E109" t="s">
        <v>251</v>
      </c>
      <c r="F109" t="s">
        <v>252</v>
      </c>
      <c r="G109" t="s">
        <v>361</v>
      </c>
    </row>
    <row r="110" spans="3:7">
      <c r="C110" t="s">
        <v>249</v>
      </c>
      <c r="D110" t="s">
        <v>250</v>
      </c>
      <c r="E110" t="s">
        <v>251</v>
      </c>
      <c r="F110" t="s">
        <v>252</v>
      </c>
      <c r="G110" t="s">
        <v>362</v>
      </c>
    </row>
    <row r="111" spans="3:7">
      <c r="C111" t="s">
        <v>249</v>
      </c>
      <c r="D111" t="s">
        <v>250</v>
      </c>
      <c r="E111" t="s">
        <v>251</v>
      </c>
      <c r="F111" t="s">
        <v>252</v>
      </c>
      <c r="G111" t="s">
        <v>363</v>
      </c>
    </row>
    <row r="112" spans="3:7">
      <c r="C112" t="s">
        <v>249</v>
      </c>
      <c r="D112" t="s">
        <v>250</v>
      </c>
      <c r="E112" t="s">
        <v>251</v>
      </c>
      <c r="F112" t="s">
        <v>252</v>
      </c>
      <c r="G112" t="s">
        <v>364</v>
      </c>
    </row>
    <row r="113" spans="3:7">
      <c r="C113" t="s">
        <v>249</v>
      </c>
      <c r="D113" t="s">
        <v>250</v>
      </c>
      <c r="E113" t="s">
        <v>251</v>
      </c>
      <c r="F113" t="s">
        <v>252</v>
      </c>
      <c r="G113" t="s">
        <v>365</v>
      </c>
    </row>
    <row r="114" spans="3:7">
      <c r="C114" t="s">
        <v>249</v>
      </c>
      <c r="D114" t="s">
        <v>250</v>
      </c>
      <c r="E114" t="s">
        <v>251</v>
      </c>
      <c r="F114" t="s">
        <v>252</v>
      </c>
      <c r="G114" t="s">
        <v>366</v>
      </c>
    </row>
    <row r="115" spans="3:7">
      <c r="C115" t="s">
        <v>249</v>
      </c>
      <c r="D115" t="s">
        <v>250</v>
      </c>
      <c r="E115" t="s">
        <v>251</v>
      </c>
      <c r="F115" t="s">
        <v>252</v>
      </c>
      <c r="G115" t="s">
        <v>367</v>
      </c>
    </row>
    <row r="116" spans="3:7">
      <c r="C116" t="s">
        <v>249</v>
      </c>
      <c r="D116" t="s">
        <v>250</v>
      </c>
      <c r="E116" t="s">
        <v>251</v>
      </c>
      <c r="F116" t="s">
        <v>252</v>
      </c>
      <c r="G116" t="s">
        <v>368</v>
      </c>
    </row>
    <row r="117" spans="3:7">
      <c r="C117" t="s">
        <v>249</v>
      </c>
      <c r="D117" t="s">
        <v>250</v>
      </c>
      <c r="E117" t="s">
        <v>251</v>
      </c>
      <c r="F117" t="s">
        <v>252</v>
      </c>
      <c r="G117" t="s">
        <v>369</v>
      </c>
    </row>
    <row r="118" spans="3:7">
      <c r="C118" t="s">
        <v>249</v>
      </c>
      <c r="D118" t="s">
        <v>250</v>
      </c>
      <c r="E118" t="s">
        <v>251</v>
      </c>
      <c r="F118" t="s">
        <v>252</v>
      </c>
      <c r="G118" t="s">
        <v>370</v>
      </c>
    </row>
    <row r="119" spans="3:7">
      <c r="C119" t="s">
        <v>249</v>
      </c>
      <c r="D119" t="s">
        <v>250</v>
      </c>
      <c r="E119" t="s">
        <v>251</v>
      </c>
      <c r="F119" t="s">
        <v>252</v>
      </c>
      <c r="G119" t="s">
        <v>371</v>
      </c>
    </row>
    <row r="120" spans="3:7">
      <c r="C120" t="s">
        <v>249</v>
      </c>
      <c r="D120" t="s">
        <v>250</v>
      </c>
      <c r="E120" t="s">
        <v>251</v>
      </c>
      <c r="F120" t="s">
        <v>252</v>
      </c>
      <c r="G120" t="s">
        <v>372</v>
      </c>
    </row>
    <row r="121" spans="3:7">
      <c r="C121" t="s">
        <v>249</v>
      </c>
      <c r="D121" t="s">
        <v>250</v>
      </c>
      <c r="E121" t="s">
        <v>251</v>
      </c>
      <c r="F121" t="s">
        <v>252</v>
      </c>
      <c r="G121" t="s">
        <v>373</v>
      </c>
    </row>
    <row r="122" spans="3:7">
      <c r="C122" t="s">
        <v>249</v>
      </c>
      <c r="D122" t="s">
        <v>250</v>
      </c>
      <c r="E122" t="s">
        <v>251</v>
      </c>
      <c r="F122" t="s">
        <v>252</v>
      </c>
      <c r="G122" t="s">
        <v>374</v>
      </c>
    </row>
    <row r="123" spans="3:7">
      <c r="C123" t="s">
        <v>249</v>
      </c>
      <c r="D123" t="s">
        <v>250</v>
      </c>
      <c r="E123" t="s">
        <v>251</v>
      </c>
      <c r="F123" t="s">
        <v>252</v>
      </c>
      <c r="G123" t="s">
        <v>375</v>
      </c>
    </row>
    <row r="124" spans="3:7">
      <c r="C124" t="s">
        <v>249</v>
      </c>
      <c r="D124" t="s">
        <v>250</v>
      </c>
      <c r="E124" t="s">
        <v>251</v>
      </c>
      <c r="F124" t="s">
        <v>252</v>
      </c>
      <c r="G124" t="s">
        <v>376</v>
      </c>
    </row>
    <row r="125" spans="3:7">
      <c r="C125" t="s">
        <v>249</v>
      </c>
      <c r="D125" t="s">
        <v>250</v>
      </c>
      <c r="E125" t="s">
        <v>251</v>
      </c>
      <c r="F125" t="s">
        <v>252</v>
      </c>
      <c r="G125" t="s">
        <v>377</v>
      </c>
    </row>
    <row r="126" spans="3:7">
      <c r="C126" t="s">
        <v>249</v>
      </c>
      <c r="D126" t="s">
        <v>250</v>
      </c>
      <c r="E126" t="s">
        <v>251</v>
      </c>
      <c r="F126" t="s">
        <v>252</v>
      </c>
      <c r="G126" t="s">
        <v>378</v>
      </c>
    </row>
    <row r="127" spans="3:7">
      <c r="C127" t="s">
        <v>249</v>
      </c>
      <c r="D127" t="s">
        <v>250</v>
      </c>
      <c r="E127" t="s">
        <v>251</v>
      </c>
      <c r="F127" t="s">
        <v>252</v>
      </c>
      <c r="G127" t="s">
        <v>379</v>
      </c>
    </row>
    <row r="128" spans="3:7">
      <c r="C128" t="s">
        <v>249</v>
      </c>
      <c r="D128" t="s">
        <v>250</v>
      </c>
      <c r="E128" t="s">
        <v>251</v>
      </c>
      <c r="F128" t="s">
        <v>252</v>
      </c>
      <c r="G128" t="s">
        <v>380</v>
      </c>
    </row>
    <row r="129" spans="3:7">
      <c r="C129" t="s">
        <v>249</v>
      </c>
      <c r="D129" t="s">
        <v>250</v>
      </c>
      <c r="E129" t="s">
        <v>251</v>
      </c>
      <c r="F129" t="s">
        <v>252</v>
      </c>
      <c r="G129" t="s">
        <v>381</v>
      </c>
    </row>
    <row r="130" spans="3:7">
      <c r="C130" t="s">
        <v>249</v>
      </c>
      <c r="D130" t="s">
        <v>250</v>
      </c>
      <c r="E130" t="s">
        <v>251</v>
      </c>
      <c r="F130" t="s">
        <v>252</v>
      </c>
      <c r="G130" t="s">
        <v>382</v>
      </c>
    </row>
    <row r="131" spans="3:7">
      <c r="C131" t="s">
        <v>249</v>
      </c>
      <c r="D131" t="s">
        <v>250</v>
      </c>
      <c r="E131" t="s">
        <v>251</v>
      </c>
      <c r="F131" t="s">
        <v>252</v>
      </c>
      <c r="G131" t="s">
        <v>383</v>
      </c>
    </row>
    <row r="132" spans="3:7">
      <c r="C132" t="s">
        <v>249</v>
      </c>
      <c r="D132" t="s">
        <v>250</v>
      </c>
      <c r="E132" t="s">
        <v>251</v>
      </c>
      <c r="F132" t="s">
        <v>252</v>
      </c>
      <c r="G132" t="s">
        <v>384</v>
      </c>
    </row>
    <row r="133" spans="3:7">
      <c r="C133" t="s">
        <v>249</v>
      </c>
      <c r="D133" t="s">
        <v>250</v>
      </c>
      <c r="E133" t="s">
        <v>251</v>
      </c>
      <c r="F133" t="s">
        <v>252</v>
      </c>
      <c r="G133" t="s">
        <v>385</v>
      </c>
    </row>
    <row r="134" spans="3:7">
      <c r="C134" t="s">
        <v>249</v>
      </c>
      <c r="D134" t="s">
        <v>250</v>
      </c>
      <c r="E134" t="s">
        <v>251</v>
      </c>
      <c r="F134" t="s">
        <v>252</v>
      </c>
      <c r="G134" t="s">
        <v>386</v>
      </c>
    </row>
    <row r="135" spans="3:7">
      <c r="C135" t="s">
        <v>249</v>
      </c>
      <c r="D135" t="s">
        <v>250</v>
      </c>
      <c r="E135" t="s">
        <v>251</v>
      </c>
      <c r="F135" t="s">
        <v>252</v>
      </c>
      <c r="G135" t="s">
        <v>387</v>
      </c>
    </row>
    <row r="136" spans="3:7">
      <c r="C136" t="s">
        <v>249</v>
      </c>
      <c r="D136" t="s">
        <v>250</v>
      </c>
      <c r="E136" t="s">
        <v>251</v>
      </c>
      <c r="F136" t="s">
        <v>252</v>
      </c>
      <c r="G136" t="s">
        <v>388</v>
      </c>
    </row>
    <row r="137" spans="3:7">
      <c r="C137" t="s">
        <v>249</v>
      </c>
      <c r="D137" t="s">
        <v>250</v>
      </c>
      <c r="E137" t="s">
        <v>251</v>
      </c>
      <c r="F137" t="s">
        <v>252</v>
      </c>
      <c r="G137" t="s">
        <v>389</v>
      </c>
    </row>
    <row r="138" spans="3:7">
      <c r="C138" t="s">
        <v>249</v>
      </c>
      <c r="D138" t="s">
        <v>250</v>
      </c>
      <c r="E138" t="s">
        <v>251</v>
      </c>
      <c r="F138" t="s">
        <v>252</v>
      </c>
      <c r="G138" t="s">
        <v>390</v>
      </c>
    </row>
    <row r="139" spans="3:7">
      <c r="C139" t="s">
        <v>249</v>
      </c>
      <c r="D139" t="s">
        <v>250</v>
      </c>
      <c r="E139" t="s">
        <v>251</v>
      </c>
      <c r="F139" t="s">
        <v>252</v>
      </c>
      <c r="G139" t="s">
        <v>391</v>
      </c>
    </row>
    <row r="140" spans="3:7">
      <c r="C140" t="s">
        <v>249</v>
      </c>
      <c r="D140" t="s">
        <v>250</v>
      </c>
      <c r="E140" t="s">
        <v>251</v>
      </c>
      <c r="F140" t="s">
        <v>252</v>
      </c>
      <c r="G140" t="s">
        <v>392</v>
      </c>
    </row>
    <row r="141" spans="3:7">
      <c r="C141" t="s">
        <v>249</v>
      </c>
      <c r="D141" t="s">
        <v>250</v>
      </c>
      <c r="E141" t="s">
        <v>251</v>
      </c>
      <c r="F141" t="s">
        <v>252</v>
      </c>
      <c r="G141" t="s">
        <v>393</v>
      </c>
    </row>
    <row r="142" spans="3:7">
      <c r="C142" t="s">
        <v>249</v>
      </c>
      <c r="D142" t="s">
        <v>250</v>
      </c>
      <c r="E142" t="s">
        <v>251</v>
      </c>
      <c r="F142" t="s">
        <v>252</v>
      </c>
      <c r="G142" t="s">
        <v>394</v>
      </c>
    </row>
    <row r="143" spans="3:7">
      <c r="C143" t="s">
        <v>249</v>
      </c>
      <c r="D143" t="s">
        <v>250</v>
      </c>
      <c r="E143" t="s">
        <v>251</v>
      </c>
      <c r="F143" t="s">
        <v>252</v>
      </c>
      <c r="G143" t="s">
        <v>395</v>
      </c>
    </row>
    <row r="144" spans="3:7">
      <c r="C144" t="s">
        <v>249</v>
      </c>
      <c r="D144" t="s">
        <v>250</v>
      </c>
      <c r="E144" t="s">
        <v>251</v>
      </c>
      <c r="F144" t="s">
        <v>252</v>
      </c>
      <c r="G144" t="s">
        <v>396</v>
      </c>
    </row>
    <row r="145" spans="3:7">
      <c r="C145" t="s">
        <v>249</v>
      </c>
      <c r="D145" t="s">
        <v>250</v>
      </c>
      <c r="E145" t="s">
        <v>251</v>
      </c>
      <c r="F145" t="s">
        <v>252</v>
      </c>
      <c r="G145" t="s">
        <v>397</v>
      </c>
    </row>
    <row r="146" spans="3:7">
      <c r="C146" t="s">
        <v>249</v>
      </c>
      <c r="D146" t="s">
        <v>250</v>
      </c>
      <c r="E146" t="s">
        <v>251</v>
      </c>
      <c r="F146" t="s">
        <v>252</v>
      </c>
      <c r="G146" t="s">
        <v>398</v>
      </c>
    </row>
    <row r="147" spans="3:7">
      <c r="C147" t="s">
        <v>249</v>
      </c>
      <c r="D147" t="s">
        <v>250</v>
      </c>
      <c r="E147" t="s">
        <v>251</v>
      </c>
      <c r="F147" t="s">
        <v>252</v>
      </c>
      <c r="G147" t="s">
        <v>399</v>
      </c>
    </row>
    <row r="148" spans="3:7">
      <c r="C148" t="s">
        <v>249</v>
      </c>
      <c r="D148" t="s">
        <v>250</v>
      </c>
      <c r="E148" t="s">
        <v>251</v>
      </c>
      <c r="F148" t="s">
        <v>252</v>
      </c>
      <c r="G148" t="s">
        <v>400</v>
      </c>
    </row>
    <row r="149" spans="3:7">
      <c r="C149" t="s">
        <v>249</v>
      </c>
      <c r="D149" t="s">
        <v>250</v>
      </c>
      <c r="E149" t="s">
        <v>251</v>
      </c>
      <c r="F149" t="s">
        <v>252</v>
      </c>
      <c r="G149" t="s">
        <v>401</v>
      </c>
    </row>
    <row r="150" spans="3:7">
      <c r="C150" t="s">
        <v>249</v>
      </c>
      <c r="D150" t="s">
        <v>250</v>
      </c>
      <c r="E150" t="s">
        <v>251</v>
      </c>
      <c r="F150" t="s">
        <v>252</v>
      </c>
      <c r="G150" t="s">
        <v>402</v>
      </c>
    </row>
    <row r="151" spans="3:7">
      <c r="C151" t="s">
        <v>249</v>
      </c>
      <c r="D151" t="s">
        <v>250</v>
      </c>
      <c r="E151" t="s">
        <v>251</v>
      </c>
      <c r="F151" t="s">
        <v>252</v>
      </c>
      <c r="G151" t="s">
        <v>403</v>
      </c>
    </row>
    <row r="152" spans="3:7">
      <c r="C152" t="s">
        <v>249</v>
      </c>
      <c r="D152" t="s">
        <v>250</v>
      </c>
      <c r="E152" t="s">
        <v>251</v>
      </c>
      <c r="F152" t="s">
        <v>252</v>
      </c>
      <c r="G152" t="s">
        <v>404</v>
      </c>
    </row>
    <row r="153" spans="3:7">
      <c r="C153" t="s">
        <v>249</v>
      </c>
      <c r="D153" t="s">
        <v>250</v>
      </c>
      <c r="E153" t="s">
        <v>251</v>
      </c>
      <c r="F153" t="s">
        <v>252</v>
      </c>
      <c r="G153" t="s">
        <v>405</v>
      </c>
    </row>
    <row r="154" spans="3:7">
      <c r="C154" t="s">
        <v>249</v>
      </c>
      <c r="D154" t="s">
        <v>250</v>
      </c>
      <c r="E154" t="s">
        <v>251</v>
      </c>
      <c r="F154" t="s">
        <v>252</v>
      </c>
      <c r="G154" t="s">
        <v>406</v>
      </c>
    </row>
    <row r="155" spans="3:7">
      <c r="C155" t="s">
        <v>249</v>
      </c>
      <c r="D155" t="s">
        <v>250</v>
      </c>
      <c r="E155" t="s">
        <v>251</v>
      </c>
      <c r="F155" t="s">
        <v>252</v>
      </c>
      <c r="G155" t="s">
        <v>407</v>
      </c>
    </row>
    <row r="156" spans="3:7">
      <c r="C156" t="s">
        <v>249</v>
      </c>
      <c r="D156" t="s">
        <v>250</v>
      </c>
      <c r="E156" t="s">
        <v>251</v>
      </c>
      <c r="F156" t="s">
        <v>252</v>
      </c>
      <c r="G156" t="s">
        <v>408</v>
      </c>
    </row>
    <row r="157" spans="3:7">
      <c r="C157" t="s">
        <v>249</v>
      </c>
      <c r="D157" t="s">
        <v>250</v>
      </c>
      <c r="E157" t="s">
        <v>251</v>
      </c>
      <c r="F157" t="s">
        <v>252</v>
      </c>
      <c r="G157" t="s">
        <v>409</v>
      </c>
    </row>
    <row r="158" spans="3:7">
      <c r="C158" t="s">
        <v>249</v>
      </c>
      <c r="D158" t="s">
        <v>250</v>
      </c>
      <c r="E158" t="s">
        <v>251</v>
      </c>
      <c r="F158" t="s">
        <v>252</v>
      </c>
      <c r="G158" t="s">
        <v>410</v>
      </c>
    </row>
    <row r="159" spans="3:7">
      <c r="C159" t="s">
        <v>249</v>
      </c>
      <c r="D159" t="s">
        <v>250</v>
      </c>
      <c r="E159" t="s">
        <v>251</v>
      </c>
      <c r="F159" t="s">
        <v>252</v>
      </c>
      <c r="G159" t="s">
        <v>411</v>
      </c>
    </row>
    <row r="160" spans="3:7">
      <c r="C160" t="s">
        <v>249</v>
      </c>
      <c r="D160" t="s">
        <v>250</v>
      </c>
      <c r="E160" t="s">
        <v>251</v>
      </c>
      <c r="F160" t="s">
        <v>252</v>
      </c>
      <c r="G160" t="s">
        <v>412</v>
      </c>
    </row>
    <row r="161" spans="3:7">
      <c r="C161" t="s">
        <v>249</v>
      </c>
      <c r="D161" t="s">
        <v>250</v>
      </c>
      <c r="E161" t="s">
        <v>251</v>
      </c>
      <c r="F161" t="s">
        <v>252</v>
      </c>
      <c r="G161" t="s">
        <v>413</v>
      </c>
    </row>
    <row r="162" spans="3:7">
      <c r="C162" t="s">
        <v>249</v>
      </c>
      <c r="D162" t="s">
        <v>250</v>
      </c>
      <c r="E162" t="s">
        <v>251</v>
      </c>
      <c r="F162" t="s">
        <v>252</v>
      </c>
      <c r="G162" t="s">
        <v>414</v>
      </c>
    </row>
    <row r="163" spans="3:7">
      <c r="C163" t="s">
        <v>249</v>
      </c>
      <c r="D163" t="s">
        <v>250</v>
      </c>
      <c r="E163" t="s">
        <v>251</v>
      </c>
      <c r="F163" t="s">
        <v>252</v>
      </c>
      <c r="G163" t="s">
        <v>415</v>
      </c>
    </row>
    <row r="164" spans="3:7">
      <c r="C164" t="s">
        <v>249</v>
      </c>
      <c r="D164" t="s">
        <v>250</v>
      </c>
      <c r="E164" t="s">
        <v>251</v>
      </c>
      <c r="F164" t="s">
        <v>252</v>
      </c>
      <c r="G164" t="s">
        <v>416</v>
      </c>
    </row>
    <row r="165" spans="3:7">
      <c r="C165" t="s">
        <v>249</v>
      </c>
      <c r="D165" t="s">
        <v>250</v>
      </c>
      <c r="E165" t="s">
        <v>251</v>
      </c>
      <c r="F165" t="s">
        <v>252</v>
      </c>
      <c r="G165" t="s">
        <v>417</v>
      </c>
    </row>
    <row r="166" spans="3:7">
      <c r="C166" t="s">
        <v>249</v>
      </c>
      <c r="D166" t="s">
        <v>250</v>
      </c>
      <c r="E166" t="s">
        <v>251</v>
      </c>
      <c r="F166" t="s">
        <v>252</v>
      </c>
      <c r="G166" t="s">
        <v>418</v>
      </c>
    </row>
    <row r="167" spans="3:7">
      <c r="C167" t="s">
        <v>249</v>
      </c>
      <c r="D167" t="s">
        <v>250</v>
      </c>
      <c r="E167" t="s">
        <v>251</v>
      </c>
      <c r="F167" t="s">
        <v>252</v>
      </c>
      <c r="G167" t="s">
        <v>419</v>
      </c>
    </row>
    <row r="168" spans="3:7">
      <c r="C168" t="s">
        <v>249</v>
      </c>
      <c r="D168" t="s">
        <v>250</v>
      </c>
      <c r="E168" t="s">
        <v>251</v>
      </c>
      <c r="F168" t="s">
        <v>252</v>
      </c>
      <c r="G168" t="s">
        <v>420</v>
      </c>
    </row>
    <row r="169" spans="3:7">
      <c r="C169" t="s">
        <v>249</v>
      </c>
      <c r="D169" t="s">
        <v>250</v>
      </c>
      <c r="E169" t="s">
        <v>251</v>
      </c>
      <c r="F169" t="s">
        <v>252</v>
      </c>
      <c r="G169" t="s">
        <v>421</v>
      </c>
    </row>
    <row r="170" spans="3:7">
      <c r="C170" t="s">
        <v>249</v>
      </c>
      <c r="D170" t="s">
        <v>250</v>
      </c>
      <c r="E170" t="s">
        <v>251</v>
      </c>
      <c r="F170" t="s">
        <v>252</v>
      </c>
      <c r="G170" t="s">
        <v>422</v>
      </c>
    </row>
    <row r="171" spans="3:7">
      <c r="C171" t="s">
        <v>249</v>
      </c>
      <c r="D171" t="s">
        <v>250</v>
      </c>
      <c r="E171" t="s">
        <v>251</v>
      </c>
      <c r="F171" t="s">
        <v>252</v>
      </c>
      <c r="G171" t="s">
        <v>423</v>
      </c>
    </row>
    <row r="172" spans="3:7">
      <c r="C172" t="s">
        <v>249</v>
      </c>
      <c r="D172" t="s">
        <v>250</v>
      </c>
      <c r="E172" t="s">
        <v>251</v>
      </c>
      <c r="F172" t="s">
        <v>252</v>
      </c>
      <c r="G172" t="s">
        <v>424</v>
      </c>
    </row>
    <row r="173" spans="3:7">
      <c r="C173" t="s">
        <v>249</v>
      </c>
      <c r="D173" t="s">
        <v>250</v>
      </c>
      <c r="E173" t="s">
        <v>251</v>
      </c>
      <c r="F173" t="s">
        <v>252</v>
      </c>
      <c r="G173" t="s">
        <v>425</v>
      </c>
    </row>
    <row r="174" spans="3:7">
      <c r="C174" t="s">
        <v>249</v>
      </c>
      <c r="D174" t="s">
        <v>250</v>
      </c>
      <c r="E174" t="s">
        <v>251</v>
      </c>
      <c r="F174" t="s">
        <v>252</v>
      </c>
      <c r="G174" t="s">
        <v>426</v>
      </c>
    </row>
    <row r="176" spans="3:7">
      <c r="C176" t="s">
        <v>249</v>
      </c>
      <c r="D176" t="s">
        <v>250</v>
      </c>
      <c r="E176" t="s">
        <v>251</v>
      </c>
      <c r="F176" t="s">
        <v>427</v>
      </c>
      <c r="G176" t="s">
        <v>428</v>
      </c>
    </row>
    <row r="177" spans="3:7">
      <c r="C177" t="s">
        <v>249</v>
      </c>
      <c r="D177" t="s">
        <v>250</v>
      </c>
      <c r="E177" t="s">
        <v>251</v>
      </c>
      <c r="F177" t="s">
        <v>427</v>
      </c>
      <c r="G177" t="s">
        <v>429</v>
      </c>
    </row>
    <row r="178" spans="3:7">
      <c r="C178" t="s">
        <v>249</v>
      </c>
      <c r="D178" t="s">
        <v>250</v>
      </c>
      <c r="E178" t="s">
        <v>251</v>
      </c>
      <c r="F178" t="s">
        <v>427</v>
      </c>
      <c r="G178" t="s">
        <v>430</v>
      </c>
    </row>
    <row r="179" spans="3:7">
      <c r="C179" t="s">
        <v>249</v>
      </c>
      <c r="D179" t="s">
        <v>250</v>
      </c>
      <c r="E179" t="s">
        <v>251</v>
      </c>
      <c r="F179" t="s">
        <v>427</v>
      </c>
      <c r="G179" t="s">
        <v>431</v>
      </c>
    </row>
    <row r="180" spans="3:7">
      <c r="C180" t="s">
        <v>249</v>
      </c>
      <c r="D180" t="s">
        <v>250</v>
      </c>
      <c r="E180" t="s">
        <v>251</v>
      </c>
      <c r="F180" t="s">
        <v>427</v>
      </c>
      <c r="G180" t="s">
        <v>432</v>
      </c>
    </row>
    <row r="181" spans="3:7">
      <c r="C181" t="s">
        <v>249</v>
      </c>
      <c r="D181" t="s">
        <v>250</v>
      </c>
      <c r="E181" t="s">
        <v>251</v>
      </c>
      <c r="F181" t="s">
        <v>427</v>
      </c>
      <c r="G181" t="s">
        <v>433</v>
      </c>
    </row>
    <row r="182" spans="3:7">
      <c r="C182" t="s">
        <v>249</v>
      </c>
      <c r="D182" t="s">
        <v>250</v>
      </c>
      <c r="E182" t="s">
        <v>251</v>
      </c>
      <c r="F182" t="s">
        <v>427</v>
      </c>
      <c r="G182" t="s">
        <v>434</v>
      </c>
    </row>
    <row r="183" spans="3:7">
      <c r="C183" t="s">
        <v>249</v>
      </c>
      <c r="D183" t="s">
        <v>250</v>
      </c>
      <c r="E183" t="s">
        <v>251</v>
      </c>
      <c r="F183" t="s">
        <v>427</v>
      </c>
      <c r="G183" t="s">
        <v>435</v>
      </c>
    </row>
    <row r="184" spans="3:7">
      <c r="C184" t="s">
        <v>249</v>
      </c>
      <c r="D184" t="s">
        <v>250</v>
      </c>
      <c r="E184" t="s">
        <v>251</v>
      </c>
      <c r="F184" t="s">
        <v>427</v>
      </c>
      <c r="G184" t="s">
        <v>436</v>
      </c>
    </row>
    <row r="185" spans="3:7">
      <c r="C185" t="s">
        <v>249</v>
      </c>
      <c r="D185" t="s">
        <v>250</v>
      </c>
      <c r="E185" t="s">
        <v>251</v>
      </c>
      <c r="F185" t="s">
        <v>427</v>
      </c>
      <c r="G185" t="s">
        <v>437</v>
      </c>
    </row>
    <row r="186" spans="3:7">
      <c r="C186" t="s">
        <v>249</v>
      </c>
      <c r="D186" t="s">
        <v>250</v>
      </c>
      <c r="E186" t="s">
        <v>251</v>
      </c>
      <c r="F186" t="s">
        <v>427</v>
      </c>
      <c r="G186" t="s">
        <v>438</v>
      </c>
    </row>
    <row r="187" spans="3:7">
      <c r="C187" t="s">
        <v>249</v>
      </c>
      <c r="D187" t="s">
        <v>250</v>
      </c>
      <c r="E187" t="s">
        <v>251</v>
      </c>
      <c r="F187" t="s">
        <v>427</v>
      </c>
      <c r="G187" t="s">
        <v>439</v>
      </c>
    </row>
    <row r="188" spans="3:7">
      <c r="C188" t="s">
        <v>249</v>
      </c>
      <c r="D188" t="s">
        <v>250</v>
      </c>
      <c r="E188" t="s">
        <v>251</v>
      </c>
      <c r="F188" t="s">
        <v>427</v>
      </c>
      <c r="G188" t="s">
        <v>440</v>
      </c>
    </row>
    <row r="189" spans="3:7">
      <c r="C189" t="s">
        <v>249</v>
      </c>
      <c r="D189" t="s">
        <v>250</v>
      </c>
      <c r="E189" t="s">
        <v>251</v>
      </c>
      <c r="F189" t="s">
        <v>427</v>
      </c>
      <c r="G189" t="s">
        <v>441</v>
      </c>
    </row>
    <row r="190" spans="3:7">
      <c r="C190" t="s">
        <v>249</v>
      </c>
      <c r="D190" t="s">
        <v>250</v>
      </c>
      <c r="E190" t="s">
        <v>251</v>
      </c>
      <c r="F190" t="s">
        <v>427</v>
      </c>
      <c r="G190" t="s">
        <v>442</v>
      </c>
    </row>
    <row r="191" spans="3:7">
      <c r="C191" t="s">
        <v>249</v>
      </c>
      <c r="D191" t="s">
        <v>250</v>
      </c>
      <c r="E191" t="s">
        <v>251</v>
      </c>
      <c r="F191" t="s">
        <v>427</v>
      </c>
      <c r="G191" t="s">
        <v>443</v>
      </c>
    </row>
    <row r="192" spans="3:7">
      <c r="C192" t="s">
        <v>249</v>
      </c>
      <c r="D192" t="s">
        <v>250</v>
      </c>
      <c r="E192" t="s">
        <v>251</v>
      </c>
      <c r="F192" t="s">
        <v>427</v>
      </c>
      <c r="G192" t="s">
        <v>444</v>
      </c>
    </row>
    <row r="193" spans="3:7">
      <c r="C193" t="s">
        <v>249</v>
      </c>
      <c r="D193" t="s">
        <v>250</v>
      </c>
      <c r="E193" t="s">
        <v>251</v>
      </c>
      <c r="F193" t="s">
        <v>427</v>
      </c>
      <c r="G193" t="s">
        <v>445</v>
      </c>
    </row>
    <row r="194" spans="3:7">
      <c r="C194" t="s">
        <v>249</v>
      </c>
      <c r="D194" t="s">
        <v>250</v>
      </c>
      <c r="E194" t="s">
        <v>251</v>
      </c>
      <c r="F194" t="s">
        <v>427</v>
      </c>
      <c r="G194" t="s">
        <v>446</v>
      </c>
    </row>
    <row r="195" spans="3:7">
      <c r="C195" t="s">
        <v>249</v>
      </c>
      <c r="D195" t="s">
        <v>250</v>
      </c>
      <c r="E195" t="s">
        <v>251</v>
      </c>
      <c r="F195" t="s">
        <v>427</v>
      </c>
      <c r="G195" t="s">
        <v>447</v>
      </c>
    </row>
    <row r="196" spans="3:7">
      <c r="C196" t="s">
        <v>249</v>
      </c>
      <c r="D196" t="s">
        <v>250</v>
      </c>
      <c r="E196" t="s">
        <v>251</v>
      </c>
      <c r="F196" t="s">
        <v>427</v>
      </c>
      <c r="G196" t="s">
        <v>448</v>
      </c>
    </row>
    <row r="197" spans="3:7">
      <c r="C197" t="s">
        <v>249</v>
      </c>
      <c r="D197" t="s">
        <v>250</v>
      </c>
      <c r="E197" t="s">
        <v>251</v>
      </c>
      <c r="F197" t="s">
        <v>427</v>
      </c>
      <c r="G197" t="s">
        <v>449</v>
      </c>
    </row>
    <row r="198" spans="3:7">
      <c r="C198" t="s">
        <v>249</v>
      </c>
      <c r="D198" t="s">
        <v>250</v>
      </c>
      <c r="E198" t="s">
        <v>251</v>
      </c>
      <c r="F198" t="s">
        <v>427</v>
      </c>
      <c r="G198" t="s">
        <v>450</v>
      </c>
    </row>
    <row r="199" spans="3:7">
      <c r="C199" t="s">
        <v>249</v>
      </c>
      <c r="D199" t="s">
        <v>250</v>
      </c>
      <c r="E199" t="s">
        <v>251</v>
      </c>
      <c r="F199" t="s">
        <v>427</v>
      </c>
      <c r="G199" t="s">
        <v>451</v>
      </c>
    </row>
    <row r="200" spans="3:7">
      <c r="C200" t="s">
        <v>249</v>
      </c>
      <c r="D200" t="s">
        <v>250</v>
      </c>
      <c r="E200" t="s">
        <v>251</v>
      </c>
      <c r="F200" t="s">
        <v>427</v>
      </c>
      <c r="G200" t="s">
        <v>452</v>
      </c>
    </row>
    <row r="201" spans="3:7">
      <c r="C201" t="s">
        <v>249</v>
      </c>
      <c r="D201" t="s">
        <v>250</v>
      </c>
      <c r="E201" t="s">
        <v>251</v>
      </c>
      <c r="F201" t="s">
        <v>427</v>
      </c>
      <c r="G201" t="s">
        <v>453</v>
      </c>
    </row>
    <row r="202" spans="3:7">
      <c r="C202" t="s">
        <v>249</v>
      </c>
      <c r="D202" t="s">
        <v>250</v>
      </c>
      <c r="E202" t="s">
        <v>251</v>
      </c>
      <c r="F202" t="s">
        <v>427</v>
      </c>
      <c r="G202" t="s">
        <v>454</v>
      </c>
    </row>
    <row r="203" spans="3:7">
      <c r="C203" t="s">
        <v>249</v>
      </c>
      <c r="D203" t="s">
        <v>250</v>
      </c>
      <c r="E203" t="s">
        <v>251</v>
      </c>
      <c r="F203" t="s">
        <v>427</v>
      </c>
      <c r="G203" t="s">
        <v>455</v>
      </c>
    </row>
    <row r="204" spans="3:7">
      <c r="C204" t="s">
        <v>249</v>
      </c>
      <c r="D204" t="s">
        <v>250</v>
      </c>
      <c r="E204" t="s">
        <v>251</v>
      </c>
      <c r="F204" t="s">
        <v>427</v>
      </c>
      <c r="G204" t="s">
        <v>456</v>
      </c>
    </row>
    <row r="205" spans="3:7">
      <c r="C205" t="s">
        <v>249</v>
      </c>
      <c r="D205" t="s">
        <v>250</v>
      </c>
      <c r="E205" t="s">
        <v>251</v>
      </c>
      <c r="F205" t="s">
        <v>427</v>
      </c>
      <c r="G205" t="s">
        <v>457</v>
      </c>
    </row>
    <row r="206" spans="3:7">
      <c r="C206" t="s">
        <v>249</v>
      </c>
      <c r="D206" t="s">
        <v>250</v>
      </c>
      <c r="E206" t="s">
        <v>251</v>
      </c>
      <c r="F206" t="s">
        <v>427</v>
      </c>
      <c r="G206" t="s">
        <v>458</v>
      </c>
    </row>
    <row r="207" spans="3:7">
      <c r="C207" t="s">
        <v>249</v>
      </c>
      <c r="D207" t="s">
        <v>250</v>
      </c>
      <c r="E207" t="s">
        <v>251</v>
      </c>
      <c r="F207" t="s">
        <v>427</v>
      </c>
      <c r="G207" t="s">
        <v>459</v>
      </c>
    </row>
    <row r="208" spans="3:7">
      <c r="C208" t="s">
        <v>249</v>
      </c>
      <c r="D208" t="s">
        <v>250</v>
      </c>
      <c r="E208" t="s">
        <v>251</v>
      </c>
      <c r="F208" t="s">
        <v>427</v>
      </c>
      <c r="G208" t="s">
        <v>460</v>
      </c>
    </row>
    <row r="209" spans="3:7">
      <c r="C209" t="s">
        <v>249</v>
      </c>
      <c r="D209" t="s">
        <v>250</v>
      </c>
      <c r="E209" t="s">
        <v>251</v>
      </c>
      <c r="F209" t="s">
        <v>427</v>
      </c>
      <c r="G209" t="s">
        <v>461</v>
      </c>
    </row>
    <row r="210" spans="3:7">
      <c r="C210" t="s">
        <v>249</v>
      </c>
      <c r="D210" t="s">
        <v>250</v>
      </c>
      <c r="E210" t="s">
        <v>251</v>
      </c>
      <c r="F210" t="s">
        <v>427</v>
      </c>
      <c r="G210" t="s">
        <v>462</v>
      </c>
    </row>
    <row r="211" spans="3:7">
      <c r="C211" t="s">
        <v>249</v>
      </c>
      <c r="D211" t="s">
        <v>250</v>
      </c>
      <c r="E211" t="s">
        <v>251</v>
      </c>
      <c r="F211" t="s">
        <v>427</v>
      </c>
      <c r="G211" t="s">
        <v>463</v>
      </c>
    </row>
    <row r="212" spans="3:7">
      <c r="C212" t="s">
        <v>249</v>
      </c>
      <c r="D212" t="s">
        <v>250</v>
      </c>
      <c r="E212" t="s">
        <v>251</v>
      </c>
      <c r="F212" t="s">
        <v>427</v>
      </c>
      <c r="G212" t="s">
        <v>464</v>
      </c>
    </row>
    <row r="213" spans="3:7">
      <c r="C213" t="s">
        <v>249</v>
      </c>
      <c r="D213" t="s">
        <v>250</v>
      </c>
      <c r="E213" t="s">
        <v>251</v>
      </c>
      <c r="F213" t="s">
        <v>427</v>
      </c>
      <c r="G213" t="s">
        <v>465</v>
      </c>
    </row>
    <row r="214" spans="3:7">
      <c r="C214" t="s">
        <v>249</v>
      </c>
      <c r="D214" t="s">
        <v>250</v>
      </c>
      <c r="E214" t="s">
        <v>251</v>
      </c>
      <c r="F214" t="s">
        <v>427</v>
      </c>
      <c r="G214" t="s">
        <v>466</v>
      </c>
    </row>
    <row r="215" spans="3:7">
      <c r="C215" t="s">
        <v>249</v>
      </c>
      <c r="D215" t="s">
        <v>250</v>
      </c>
      <c r="E215" t="s">
        <v>251</v>
      </c>
      <c r="F215" t="s">
        <v>427</v>
      </c>
      <c r="G215" t="s">
        <v>467</v>
      </c>
    </row>
    <row r="216" spans="3:7">
      <c r="C216" t="s">
        <v>249</v>
      </c>
      <c r="D216" t="s">
        <v>250</v>
      </c>
      <c r="E216" t="s">
        <v>251</v>
      </c>
      <c r="F216" t="s">
        <v>427</v>
      </c>
      <c r="G216" t="s">
        <v>468</v>
      </c>
    </row>
    <row r="217" spans="3:7">
      <c r="C217" t="s">
        <v>249</v>
      </c>
      <c r="D217" t="s">
        <v>250</v>
      </c>
      <c r="E217" t="s">
        <v>251</v>
      </c>
      <c r="F217" t="s">
        <v>427</v>
      </c>
      <c r="G217" t="s">
        <v>469</v>
      </c>
    </row>
    <row r="218" spans="3:7">
      <c r="C218" t="s">
        <v>249</v>
      </c>
      <c r="D218" t="s">
        <v>250</v>
      </c>
      <c r="E218" t="s">
        <v>251</v>
      </c>
      <c r="F218" t="s">
        <v>427</v>
      </c>
      <c r="G218" t="s">
        <v>470</v>
      </c>
    </row>
    <row r="219" spans="3:7">
      <c r="C219" t="s">
        <v>249</v>
      </c>
      <c r="D219" t="s">
        <v>250</v>
      </c>
      <c r="E219" t="s">
        <v>251</v>
      </c>
      <c r="F219" t="s">
        <v>427</v>
      </c>
      <c r="G219" t="s">
        <v>471</v>
      </c>
    </row>
    <row r="220" spans="3:7">
      <c r="C220" t="s">
        <v>249</v>
      </c>
      <c r="D220" t="s">
        <v>250</v>
      </c>
      <c r="E220" t="s">
        <v>251</v>
      </c>
      <c r="F220" t="s">
        <v>427</v>
      </c>
      <c r="G220" t="s">
        <v>472</v>
      </c>
    </row>
    <row r="221" spans="3:7">
      <c r="C221" t="s">
        <v>249</v>
      </c>
      <c r="D221" t="s">
        <v>250</v>
      </c>
      <c r="E221" t="s">
        <v>251</v>
      </c>
      <c r="F221" t="s">
        <v>427</v>
      </c>
      <c r="G221" t="s">
        <v>473</v>
      </c>
    </row>
    <row r="222" spans="3:7">
      <c r="C222" t="s">
        <v>249</v>
      </c>
      <c r="D222" t="s">
        <v>250</v>
      </c>
      <c r="E222" t="s">
        <v>251</v>
      </c>
      <c r="F222" t="s">
        <v>427</v>
      </c>
      <c r="G222" t="s">
        <v>474</v>
      </c>
    </row>
    <row r="223" spans="3:7">
      <c r="C223" t="s">
        <v>249</v>
      </c>
      <c r="D223" t="s">
        <v>250</v>
      </c>
      <c r="E223" t="s">
        <v>251</v>
      </c>
      <c r="F223" t="s">
        <v>427</v>
      </c>
      <c r="G223" t="s">
        <v>475</v>
      </c>
    </row>
    <row r="224" spans="3:7">
      <c r="C224" t="s">
        <v>249</v>
      </c>
      <c r="D224" t="s">
        <v>250</v>
      </c>
      <c r="E224" t="s">
        <v>251</v>
      </c>
      <c r="F224" t="s">
        <v>427</v>
      </c>
      <c r="G224" t="s">
        <v>476</v>
      </c>
    </row>
    <row r="225" spans="3:7">
      <c r="C225" t="s">
        <v>249</v>
      </c>
      <c r="D225" t="s">
        <v>250</v>
      </c>
      <c r="E225" t="s">
        <v>251</v>
      </c>
      <c r="F225" t="s">
        <v>427</v>
      </c>
      <c r="G225" t="s">
        <v>477</v>
      </c>
    </row>
    <row r="226" spans="3:7">
      <c r="C226" t="s">
        <v>249</v>
      </c>
      <c r="D226" t="s">
        <v>250</v>
      </c>
      <c r="E226" t="s">
        <v>251</v>
      </c>
      <c r="F226" t="s">
        <v>427</v>
      </c>
      <c r="G226" t="s">
        <v>478</v>
      </c>
    </row>
    <row r="227" spans="3:7">
      <c r="C227" t="s">
        <v>249</v>
      </c>
      <c r="D227" t="s">
        <v>250</v>
      </c>
      <c r="E227" t="s">
        <v>251</v>
      </c>
      <c r="F227" t="s">
        <v>427</v>
      </c>
      <c r="G227" t="s">
        <v>479</v>
      </c>
    </row>
    <row r="228" spans="3:7">
      <c r="C228" t="s">
        <v>249</v>
      </c>
      <c r="D228" t="s">
        <v>250</v>
      </c>
      <c r="E228" t="s">
        <v>251</v>
      </c>
      <c r="F228" t="s">
        <v>427</v>
      </c>
      <c r="G228" t="s">
        <v>480</v>
      </c>
    </row>
    <row r="229" spans="3:7">
      <c r="C229" t="s">
        <v>249</v>
      </c>
      <c r="D229" t="s">
        <v>250</v>
      </c>
      <c r="E229" t="s">
        <v>251</v>
      </c>
      <c r="F229" t="s">
        <v>427</v>
      </c>
      <c r="G229" t="s">
        <v>481</v>
      </c>
    </row>
    <row r="230" spans="3:7">
      <c r="C230" t="s">
        <v>249</v>
      </c>
      <c r="D230" t="s">
        <v>250</v>
      </c>
      <c r="E230" t="s">
        <v>251</v>
      </c>
      <c r="F230" t="s">
        <v>427</v>
      </c>
      <c r="G230" t="s">
        <v>482</v>
      </c>
    </row>
    <row r="231" spans="3:7">
      <c r="C231" t="s">
        <v>249</v>
      </c>
      <c r="D231" t="s">
        <v>250</v>
      </c>
      <c r="E231" t="s">
        <v>251</v>
      </c>
      <c r="F231" t="s">
        <v>427</v>
      </c>
      <c r="G231" t="s">
        <v>483</v>
      </c>
    </row>
    <row r="232" spans="3:7">
      <c r="C232" t="s">
        <v>249</v>
      </c>
      <c r="D232" t="s">
        <v>250</v>
      </c>
      <c r="E232" t="s">
        <v>251</v>
      </c>
      <c r="F232" t="s">
        <v>427</v>
      </c>
      <c r="G232" t="s">
        <v>484</v>
      </c>
    </row>
    <row r="233" spans="3:7">
      <c r="C233" t="s">
        <v>249</v>
      </c>
      <c r="D233" t="s">
        <v>250</v>
      </c>
      <c r="E233" t="s">
        <v>251</v>
      </c>
      <c r="F233" t="s">
        <v>427</v>
      </c>
      <c r="G233" t="s">
        <v>485</v>
      </c>
    </row>
    <row r="234" spans="3:7">
      <c r="C234" t="s">
        <v>249</v>
      </c>
      <c r="D234" t="s">
        <v>250</v>
      </c>
      <c r="E234" t="s">
        <v>251</v>
      </c>
      <c r="F234" t="s">
        <v>427</v>
      </c>
      <c r="G234" t="s">
        <v>486</v>
      </c>
    </row>
    <row r="235" spans="3:7">
      <c r="C235" t="s">
        <v>249</v>
      </c>
      <c r="D235" t="s">
        <v>250</v>
      </c>
      <c r="E235" t="s">
        <v>251</v>
      </c>
      <c r="F235" t="s">
        <v>427</v>
      </c>
      <c r="G235" t="s">
        <v>487</v>
      </c>
    </row>
    <row r="236" spans="3:7">
      <c r="C236" t="s">
        <v>249</v>
      </c>
      <c r="D236" t="s">
        <v>250</v>
      </c>
      <c r="E236" t="s">
        <v>251</v>
      </c>
      <c r="F236" t="s">
        <v>427</v>
      </c>
      <c r="G236" t="s">
        <v>488</v>
      </c>
    </row>
    <row r="237" spans="3:7">
      <c r="C237" t="s">
        <v>249</v>
      </c>
      <c r="D237" t="s">
        <v>250</v>
      </c>
      <c r="E237" t="s">
        <v>251</v>
      </c>
      <c r="F237" t="s">
        <v>427</v>
      </c>
      <c r="G237" t="s">
        <v>489</v>
      </c>
    </row>
    <row r="238" spans="3:7">
      <c r="C238" t="s">
        <v>249</v>
      </c>
      <c r="D238" t="s">
        <v>250</v>
      </c>
      <c r="E238" t="s">
        <v>251</v>
      </c>
      <c r="F238" t="s">
        <v>427</v>
      </c>
      <c r="G238" t="s">
        <v>490</v>
      </c>
    </row>
    <row r="239" spans="3:7">
      <c r="C239" t="s">
        <v>249</v>
      </c>
      <c r="D239" t="s">
        <v>250</v>
      </c>
      <c r="E239" t="s">
        <v>251</v>
      </c>
      <c r="F239" t="s">
        <v>427</v>
      </c>
      <c r="G239" t="s">
        <v>491</v>
      </c>
    </row>
    <row r="240" spans="3:7">
      <c r="C240" t="s">
        <v>249</v>
      </c>
      <c r="D240" t="s">
        <v>250</v>
      </c>
      <c r="E240" t="s">
        <v>251</v>
      </c>
      <c r="F240" t="s">
        <v>427</v>
      </c>
      <c r="G240" t="s">
        <v>492</v>
      </c>
    </row>
    <row r="241" spans="3:7">
      <c r="C241" t="s">
        <v>249</v>
      </c>
      <c r="D241" t="s">
        <v>250</v>
      </c>
      <c r="E241" t="s">
        <v>251</v>
      </c>
      <c r="F241" t="s">
        <v>427</v>
      </c>
      <c r="G241" t="s">
        <v>493</v>
      </c>
    </row>
    <row r="242" spans="3:7">
      <c r="C242" t="s">
        <v>249</v>
      </c>
      <c r="D242" t="s">
        <v>250</v>
      </c>
      <c r="E242" t="s">
        <v>251</v>
      </c>
      <c r="F242" t="s">
        <v>427</v>
      </c>
      <c r="G242" t="s">
        <v>494</v>
      </c>
    </row>
    <row r="243" spans="3:7">
      <c r="C243" t="s">
        <v>249</v>
      </c>
      <c r="D243" t="s">
        <v>250</v>
      </c>
      <c r="E243" t="s">
        <v>251</v>
      </c>
      <c r="F243" t="s">
        <v>427</v>
      </c>
      <c r="G243" t="s">
        <v>495</v>
      </c>
    </row>
    <row r="244" spans="3:7">
      <c r="C244" t="s">
        <v>249</v>
      </c>
      <c r="D244" t="s">
        <v>250</v>
      </c>
      <c r="E244" t="s">
        <v>251</v>
      </c>
      <c r="F244" t="s">
        <v>427</v>
      </c>
      <c r="G244" t="s">
        <v>496</v>
      </c>
    </row>
    <row r="245" spans="3:7">
      <c r="C245" t="s">
        <v>249</v>
      </c>
      <c r="D245" t="s">
        <v>250</v>
      </c>
      <c r="E245" t="s">
        <v>251</v>
      </c>
      <c r="F245" t="s">
        <v>427</v>
      </c>
      <c r="G245" t="s">
        <v>497</v>
      </c>
    </row>
    <row r="246" spans="3:7">
      <c r="C246" t="s">
        <v>249</v>
      </c>
      <c r="D246" t="s">
        <v>250</v>
      </c>
      <c r="E246" t="s">
        <v>251</v>
      </c>
      <c r="F246" t="s">
        <v>427</v>
      </c>
      <c r="G246" t="s">
        <v>498</v>
      </c>
    </row>
    <row r="247" spans="3:7">
      <c r="C247" t="s">
        <v>249</v>
      </c>
      <c r="D247" t="s">
        <v>250</v>
      </c>
      <c r="E247" t="s">
        <v>251</v>
      </c>
      <c r="F247" t="s">
        <v>427</v>
      </c>
      <c r="G247" t="s">
        <v>499</v>
      </c>
    </row>
    <row r="248" spans="3:7">
      <c r="C248" t="s">
        <v>249</v>
      </c>
      <c r="D248" t="s">
        <v>250</v>
      </c>
      <c r="E248" t="s">
        <v>251</v>
      </c>
      <c r="F248" t="s">
        <v>427</v>
      </c>
      <c r="G248" t="s">
        <v>500</v>
      </c>
    </row>
    <row r="249" spans="3:7">
      <c r="C249" t="s">
        <v>249</v>
      </c>
      <c r="D249" t="s">
        <v>250</v>
      </c>
      <c r="E249" t="s">
        <v>251</v>
      </c>
      <c r="F249" t="s">
        <v>427</v>
      </c>
      <c r="G249" t="s">
        <v>501</v>
      </c>
    </row>
    <row r="250" spans="3:7">
      <c r="C250" t="s">
        <v>249</v>
      </c>
      <c r="D250" t="s">
        <v>250</v>
      </c>
      <c r="E250" t="s">
        <v>251</v>
      </c>
      <c r="F250" t="s">
        <v>427</v>
      </c>
      <c r="G250" t="s">
        <v>502</v>
      </c>
    </row>
    <row r="251" spans="3:7">
      <c r="C251" t="s">
        <v>249</v>
      </c>
      <c r="D251" t="s">
        <v>250</v>
      </c>
      <c r="E251" t="s">
        <v>251</v>
      </c>
      <c r="F251" t="s">
        <v>427</v>
      </c>
      <c r="G251" t="s">
        <v>503</v>
      </c>
    </row>
    <row r="252" spans="3:7">
      <c r="C252" t="s">
        <v>249</v>
      </c>
      <c r="D252" t="s">
        <v>250</v>
      </c>
      <c r="E252" t="s">
        <v>251</v>
      </c>
      <c r="F252" t="s">
        <v>427</v>
      </c>
      <c r="G252" t="s">
        <v>504</v>
      </c>
    </row>
    <row r="253" spans="3:7">
      <c r="C253" t="s">
        <v>249</v>
      </c>
      <c r="D253" t="s">
        <v>250</v>
      </c>
      <c r="E253" t="s">
        <v>251</v>
      </c>
      <c r="F253" t="s">
        <v>427</v>
      </c>
      <c r="G253" t="s">
        <v>505</v>
      </c>
    </row>
    <row r="254" spans="3:7">
      <c r="C254" t="s">
        <v>249</v>
      </c>
      <c r="D254" t="s">
        <v>250</v>
      </c>
      <c r="E254" t="s">
        <v>251</v>
      </c>
      <c r="F254" t="s">
        <v>427</v>
      </c>
      <c r="G254" t="s">
        <v>506</v>
      </c>
    </row>
    <row r="255" spans="3:7">
      <c r="C255" t="s">
        <v>249</v>
      </c>
      <c r="D255" t="s">
        <v>250</v>
      </c>
      <c r="E255" t="s">
        <v>251</v>
      </c>
      <c r="F255" t="s">
        <v>427</v>
      </c>
      <c r="G255" t="s">
        <v>507</v>
      </c>
    </row>
    <row r="256" spans="3:7">
      <c r="C256" t="s">
        <v>249</v>
      </c>
      <c r="D256" t="s">
        <v>250</v>
      </c>
      <c r="E256" t="s">
        <v>251</v>
      </c>
      <c r="F256" t="s">
        <v>427</v>
      </c>
      <c r="G256" t="s">
        <v>508</v>
      </c>
    </row>
    <row r="257" spans="3:7">
      <c r="C257" t="s">
        <v>249</v>
      </c>
      <c r="D257" t="s">
        <v>250</v>
      </c>
      <c r="E257" t="s">
        <v>251</v>
      </c>
      <c r="F257" t="s">
        <v>427</v>
      </c>
      <c r="G257" t="s">
        <v>509</v>
      </c>
    </row>
    <row r="258" spans="3:7">
      <c r="C258" t="s">
        <v>249</v>
      </c>
      <c r="D258" t="s">
        <v>250</v>
      </c>
      <c r="E258" t="s">
        <v>251</v>
      </c>
      <c r="F258" t="s">
        <v>427</v>
      </c>
      <c r="G258" t="s">
        <v>510</v>
      </c>
    </row>
    <row r="259" spans="3:7">
      <c r="C259" t="s">
        <v>249</v>
      </c>
      <c r="D259" t="s">
        <v>250</v>
      </c>
      <c r="E259" t="s">
        <v>251</v>
      </c>
      <c r="F259" t="s">
        <v>427</v>
      </c>
      <c r="G259" t="s">
        <v>511</v>
      </c>
    </row>
    <row r="260" spans="3:7">
      <c r="C260" t="s">
        <v>249</v>
      </c>
      <c r="D260" t="s">
        <v>250</v>
      </c>
      <c r="E260" t="s">
        <v>251</v>
      </c>
      <c r="F260" t="s">
        <v>427</v>
      </c>
      <c r="G260" t="s">
        <v>512</v>
      </c>
    </row>
    <row r="261" spans="3:7">
      <c r="C261" t="s">
        <v>249</v>
      </c>
      <c r="D261" t="s">
        <v>250</v>
      </c>
      <c r="E261" t="s">
        <v>251</v>
      </c>
      <c r="F261" t="s">
        <v>427</v>
      </c>
      <c r="G261" t="s">
        <v>513</v>
      </c>
    </row>
    <row r="262" spans="3:7">
      <c r="C262" t="s">
        <v>249</v>
      </c>
      <c r="D262" t="s">
        <v>250</v>
      </c>
      <c r="E262" t="s">
        <v>251</v>
      </c>
      <c r="F262" t="s">
        <v>427</v>
      </c>
      <c r="G262" t="s">
        <v>514</v>
      </c>
    </row>
    <row r="263" spans="3:7">
      <c r="C263" t="s">
        <v>249</v>
      </c>
      <c r="D263" t="s">
        <v>250</v>
      </c>
      <c r="E263" t="s">
        <v>251</v>
      </c>
      <c r="F263" t="s">
        <v>427</v>
      </c>
      <c r="G263" t="s">
        <v>515</v>
      </c>
    </row>
    <row r="264" spans="3:7">
      <c r="C264" t="s">
        <v>249</v>
      </c>
      <c r="D264" t="s">
        <v>250</v>
      </c>
      <c r="E264" t="s">
        <v>251</v>
      </c>
      <c r="F264" t="s">
        <v>427</v>
      </c>
      <c r="G264" t="s">
        <v>516</v>
      </c>
    </row>
    <row r="265" spans="3:7">
      <c r="C265" t="s">
        <v>249</v>
      </c>
      <c r="D265" t="s">
        <v>250</v>
      </c>
      <c r="E265" t="s">
        <v>251</v>
      </c>
      <c r="F265" t="s">
        <v>427</v>
      </c>
      <c r="G265" t="s">
        <v>517</v>
      </c>
    </row>
    <row r="266" spans="3:7">
      <c r="C266" t="s">
        <v>249</v>
      </c>
      <c r="D266" t="s">
        <v>250</v>
      </c>
      <c r="E266" t="s">
        <v>251</v>
      </c>
      <c r="F266" t="s">
        <v>427</v>
      </c>
      <c r="G266" t="s">
        <v>518</v>
      </c>
    </row>
    <row r="267" spans="3:7">
      <c r="C267" t="s">
        <v>249</v>
      </c>
      <c r="D267" t="s">
        <v>250</v>
      </c>
      <c r="E267" t="s">
        <v>251</v>
      </c>
      <c r="F267" t="s">
        <v>427</v>
      </c>
      <c r="G267" t="s">
        <v>519</v>
      </c>
    </row>
    <row r="268" spans="3:7">
      <c r="C268" t="s">
        <v>249</v>
      </c>
      <c r="D268" t="s">
        <v>250</v>
      </c>
      <c r="E268" t="s">
        <v>251</v>
      </c>
      <c r="F268" t="s">
        <v>427</v>
      </c>
      <c r="G268" t="s">
        <v>520</v>
      </c>
    </row>
    <row r="269" spans="3:7">
      <c r="C269" t="s">
        <v>249</v>
      </c>
      <c r="D269" t="s">
        <v>250</v>
      </c>
      <c r="E269" t="s">
        <v>251</v>
      </c>
      <c r="F269" t="s">
        <v>427</v>
      </c>
      <c r="G269" t="s">
        <v>521</v>
      </c>
    </row>
    <row r="270" spans="3:7">
      <c r="C270" t="s">
        <v>249</v>
      </c>
      <c r="D270" t="s">
        <v>250</v>
      </c>
      <c r="E270" t="s">
        <v>251</v>
      </c>
      <c r="F270" t="s">
        <v>427</v>
      </c>
      <c r="G270" t="s">
        <v>522</v>
      </c>
    </row>
    <row r="271" spans="3:7">
      <c r="C271" t="s">
        <v>249</v>
      </c>
      <c r="D271" t="s">
        <v>250</v>
      </c>
      <c r="E271" t="s">
        <v>251</v>
      </c>
      <c r="F271" t="s">
        <v>427</v>
      </c>
      <c r="G271" t="s">
        <v>523</v>
      </c>
    </row>
    <row r="272" spans="3:7">
      <c r="C272" t="s">
        <v>249</v>
      </c>
      <c r="D272" t="s">
        <v>250</v>
      </c>
      <c r="E272" t="s">
        <v>251</v>
      </c>
      <c r="F272" t="s">
        <v>427</v>
      </c>
      <c r="G272" t="s">
        <v>524</v>
      </c>
    </row>
    <row r="273" spans="3:7">
      <c r="C273" t="s">
        <v>249</v>
      </c>
      <c r="D273" t="s">
        <v>250</v>
      </c>
      <c r="E273" t="s">
        <v>251</v>
      </c>
      <c r="F273" t="s">
        <v>427</v>
      </c>
      <c r="G273" t="s">
        <v>525</v>
      </c>
    </row>
    <row r="274" spans="3:7">
      <c r="C274" t="s">
        <v>249</v>
      </c>
      <c r="D274" t="s">
        <v>250</v>
      </c>
      <c r="E274" t="s">
        <v>251</v>
      </c>
      <c r="F274" t="s">
        <v>427</v>
      </c>
      <c r="G274" t="s">
        <v>526</v>
      </c>
    </row>
    <row r="275" spans="3:7">
      <c r="C275" t="s">
        <v>249</v>
      </c>
      <c r="D275" t="s">
        <v>250</v>
      </c>
      <c r="E275" t="s">
        <v>251</v>
      </c>
      <c r="F275" t="s">
        <v>427</v>
      </c>
      <c r="G275" t="s">
        <v>527</v>
      </c>
    </row>
    <row r="276" spans="3:7">
      <c r="C276" t="s">
        <v>249</v>
      </c>
      <c r="D276" t="s">
        <v>250</v>
      </c>
      <c r="E276" t="s">
        <v>251</v>
      </c>
      <c r="F276" t="s">
        <v>427</v>
      </c>
      <c r="G276" t="s">
        <v>528</v>
      </c>
    </row>
    <row r="277" spans="3:7">
      <c r="C277" t="s">
        <v>249</v>
      </c>
      <c r="D277" t="s">
        <v>250</v>
      </c>
      <c r="E277" t="s">
        <v>251</v>
      </c>
      <c r="F277" t="s">
        <v>427</v>
      </c>
      <c r="G277" t="s">
        <v>529</v>
      </c>
    </row>
    <row r="278" spans="3:7">
      <c r="C278" t="s">
        <v>249</v>
      </c>
      <c r="D278" t="s">
        <v>250</v>
      </c>
      <c r="E278" t="s">
        <v>251</v>
      </c>
      <c r="F278" t="s">
        <v>427</v>
      </c>
      <c r="G278" t="s">
        <v>530</v>
      </c>
    </row>
    <row r="279" spans="3:7">
      <c r="C279" t="s">
        <v>249</v>
      </c>
      <c r="D279" t="s">
        <v>250</v>
      </c>
      <c r="E279" t="s">
        <v>251</v>
      </c>
      <c r="F279" t="s">
        <v>427</v>
      </c>
      <c r="G279" t="s">
        <v>531</v>
      </c>
    </row>
    <row r="280" spans="3:7">
      <c r="C280" t="s">
        <v>249</v>
      </c>
      <c r="D280" t="s">
        <v>250</v>
      </c>
      <c r="E280" t="s">
        <v>251</v>
      </c>
      <c r="F280" t="s">
        <v>427</v>
      </c>
      <c r="G280" t="s">
        <v>532</v>
      </c>
    </row>
    <row r="281" spans="3:7">
      <c r="C281" t="s">
        <v>249</v>
      </c>
      <c r="D281" t="s">
        <v>250</v>
      </c>
      <c r="E281" t="s">
        <v>251</v>
      </c>
      <c r="F281" t="s">
        <v>427</v>
      </c>
      <c r="G281" t="s">
        <v>533</v>
      </c>
    </row>
    <row r="282" spans="3:7">
      <c r="C282" t="s">
        <v>249</v>
      </c>
      <c r="D282" t="s">
        <v>250</v>
      </c>
      <c r="E282" t="s">
        <v>251</v>
      </c>
      <c r="F282" t="s">
        <v>427</v>
      </c>
      <c r="G282" t="s">
        <v>534</v>
      </c>
    </row>
    <row r="283" spans="3:7">
      <c r="C283" t="s">
        <v>249</v>
      </c>
      <c r="D283" t="s">
        <v>250</v>
      </c>
      <c r="E283" t="s">
        <v>251</v>
      </c>
      <c r="F283" t="s">
        <v>427</v>
      </c>
      <c r="G283" t="s">
        <v>535</v>
      </c>
    </row>
    <row r="284" spans="3:7">
      <c r="C284" t="s">
        <v>249</v>
      </c>
      <c r="D284" t="s">
        <v>250</v>
      </c>
      <c r="E284" t="s">
        <v>251</v>
      </c>
      <c r="F284" t="s">
        <v>427</v>
      </c>
      <c r="G284" t="s">
        <v>536</v>
      </c>
    </row>
    <row r="285" spans="3:7">
      <c r="C285" t="s">
        <v>249</v>
      </c>
      <c r="D285" t="s">
        <v>250</v>
      </c>
      <c r="E285" t="s">
        <v>251</v>
      </c>
      <c r="F285" t="s">
        <v>427</v>
      </c>
      <c r="G285" t="s">
        <v>537</v>
      </c>
    </row>
    <row r="286" spans="3:7">
      <c r="C286" t="s">
        <v>249</v>
      </c>
      <c r="D286" t="s">
        <v>250</v>
      </c>
      <c r="E286" t="s">
        <v>251</v>
      </c>
      <c r="F286" t="s">
        <v>427</v>
      </c>
      <c r="G286" t="s">
        <v>538</v>
      </c>
    </row>
    <row r="287" spans="3:7">
      <c r="C287" t="s">
        <v>249</v>
      </c>
      <c r="D287" t="s">
        <v>250</v>
      </c>
      <c r="E287" t="s">
        <v>251</v>
      </c>
      <c r="F287" t="s">
        <v>427</v>
      </c>
      <c r="G287" t="s">
        <v>539</v>
      </c>
    </row>
    <row r="288" spans="3:7">
      <c r="C288" t="s">
        <v>249</v>
      </c>
      <c r="D288" t="s">
        <v>250</v>
      </c>
      <c r="E288" t="s">
        <v>251</v>
      </c>
      <c r="F288" t="s">
        <v>427</v>
      </c>
      <c r="G288" t="s">
        <v>540</v>
      </c>
    </row>
    <row r="289" spans="3:7">
      <c r="C289" t="s">
        <v>249</v>
      </c>
      <c r="D289" t="s">
        <v>250</v>
      </c>
      <c r="E289" t="s">
        <v>251</v>
      </c>
      <c r="F289" t="s">
        <v>427</v>
      </c>
      <c r="G289" t="s">
        <v>541</v>
      </c>
    </row>
    <row r="290" spans="3:7">
      <c r="C290" t="s">
        <v>249</v>
      </c>
      <c r="D290" t="s">
        <v>250</v>
      </c>
      <c r="E290" t="s">
        <v>251</v>
      </c>
      <c r="F290" t="s">
        <v>427</v>
      </c>
      <c r="G290" t="s">
        <v>542</v>
      </c>
    </row>
    <row r="291" spans="3:7">
      <c r="C291" t="s">
        <v>249</v>
      </c>
      <c r="D291" t="s">
        <v>250</v>
      </c>
      <c r="E291" t="s">
        <v>251</v>
      </c>
      <c r="F291" t="s">
        <v>427</v>
      </c>
      <c r="G291" t="s">
        <v>543</v>
      </c>
    </row>
    <row r="292" spans="3:7">
      <c r="C292" t="s">
        <v>249</v>
      </c>
      <c r="D292" t="s">
        <v>250</v>
      </c>
      <c r="E292" t="s">
        <v>251</v>
      </c>
      <c r="F292" t="s">
        <v>427</v>
      </c>
      <c r="G292" t="s">
        <v>544</v>
      </c>
    </row>
    <row r="293" spans="3:7">
      <c r="C293" t="s">
        <v>249</v>
      </c>
      <c r="D293" t="s">
        <v>250</v>
      </c>
      <c r="E293" t="s">
        <v>251</v>
      </c>
      <c r="F293" t="s">
        <v>427</v>
      </c>
      <c r="G293" t="s">
        <v>545</v>
      </c>
    </row>
    <row r="294" spans="3:7">
      <c r="C294" t="s">
        <v>249</v>
      </c>
      <c r="D294" t="s">
        <v>250</v>
      </c>
      <c r="E294" t="s">
        <v>251</v>
      </c>
      <c r="F294" t="s">
        <v>427</v>
      </c>
      <c r="G294" t="s">
        <v>546</v>
      </c>
    </row>
    <row r="295" spans="3:7">
      <c r="C295" t="s">
        <v>249</v>
      </c>
      <c r="D295" t="s">
        <v>250</v>
      </c>
      <c r="E295" t="s">
        <v>251</v>
      </c>
      <c r="F295" t="s">
        <v>427</v>
      </c>
      <c r="G295" t="s">
        <v>547</v>
      </c>
    </row>
    <row r="296" spans="3:7">
      <c r="C296" t="s">
        <v>249</v>
      </c>
      <c r="D296" t="s">
        <v>250</v>
      </c>
      <c r="E296" t="s">
        <v>251</v>
      </c>
      <c r="F296" t="s">
        <v>427</v>
      </c>
      <c r="G296" t="s">
        <v>548</v>
      </c>
    </row>
    <row r="297" spans="3:7">
      <c r="C297" t="s">
        <v>249</v>
      </c>
      <c r="D297" t="s">
        <v>250</v>
      </c>
      <c r="E297" t="s">
        <v>251</v>
      </c>
      <c r="F297" t="s">
        <v>427</v>
      </c>
      <c r="G297" t="s">
        <v>549</v>
      </c>
    </row>
    <row r="298" spans="3:7">
      <c r="C298" t="s">
        <v>249</v>
      </c>
      <c r="D298" t="s">
        <v>250</v>
      </c>
      <c r="E298" t="s">
        <v>251</v>
      </c>
      <c r="F298" t="s">
        <v>427</v>
      </c>
      <c r="G298" t="s">
        <v>550</v>
      </c>
    </row>
    <row r="299" spans="3:7">
      <c r="C299" t="s">
        <v>249</v>
      </c>
      <c r="D299" t="s">
        <v>250</v>
      </c>
      <c r="E299" t="s">
        <v>251</v>
      </c>
      <c r="F299" t="s">
        <v>427</v>
      </c>
      <c r="G299" t="s">
        <v>551</v>
      </c>
    </row>
    <row r="300" spans="3:7">
      <c r="C300" t="s">
        <v>249</v>
      </c>
      <c r="D300" t="s">
        <v>250</v>
      </c>
      <c r="E300" t="s">
        <v>251</v>
      </c>
      <c r="F300" t="s">
        <v>427</v>
      </c>
      <c r="G300" t="s">
        <v>552</v>
      </c>
    </row>
    <row r="301" spans="3:7">
      <c r="C301" t="s">
        <v>249</v>
      </c>
      <c r="D301" t="s">
        <v>250</v>
      </c>
      <c r="E301" t="s">
        <v>251</v>
      </c>
      <c r="F301" t="s">
        <v>427</v>
      </c>
      <c r="G301" t="s">
        <v>553</v>
      </c>
    </row>
    <row r="302" spans="3:7">
      <c r="C302" t="s">
        <v>249</v>
      </c>
      <c r="D302" t="s">
        <v>250</v>
      </c>
      <c r="E302" t="s">
        <v>251</v>
      </c>
      <c r="F302" t="s">
        <v>427</v>
      </c>
      <c r="G302" t="s">
        <v>554</v>
      </c>
    </row>
    <row r="303" spans="3:7">
      <c r="C303" t="s">
        <v>249</v>
      </c>
      <c r="D303" t="s">
        <v>250</v>
      </c>
      <c r="E303" t="s">
        <v>251</v>
      </c>
      <c r="F303" t="s">
        <v>427</v>
      </c>
      <c r="G303" t="s">
        <v>555</v>
      </c>
    </row>
    <row r="304" spans="3:7">
      <c r="C304" t="s">
        <v>249</v>
      </c>
      <c r="D304" t="s">
        <v>250</v>
      </c>
      <c r="E304" t="s">
        <v>251</v>
      </c>
      <c r="F304" t="s">
        <v>427</v>
      </c>
      <c r="G304" t="s">
        <v>556</v>
      </c>
    </row>
    <row r="306" spans="3:7">
      <c r="C306" t="s">
        <v>249</v>
      </c>
      <c r="D306" t="s">
        <v>250</v>
      </c>
      <c r="E306" t="s">
        <v>251</v>
      </c>
      <c r="F306" t="s">
        <v>557</v>
      </c>
      <c r="G306" t="s">
        <v>558</v>
      </c>
    </row>
    <row r="307" spans="3:7">
      <c r="C307" t="s">
        <v>249</v>
      </c>
      <c r="D307" t="s">
        <v>250</v>
      </c>
      <c r="E307" t="s">
        <v>251</v>
      </c>
      <c r="F307" t="s">
        <v>557</v>
      </c>
      <c r="G307" t="s">
        <v>559</v>
      </c>
    </row>
    <row r="308" spans="3:7">
      <c r="C308" t="s">
        <v>249</v>
      </c>
      <c r="D308" t="s">
        <v>250</v>
      </c>
      <c r="E308" t="s">
        <v>251</v>
      </c>
      <c r="F308" t="s">
        <v>557</v>
      </c>
      <c r="G308" t="s">
        <v>560</v>
      </c>
    </row>
    <row r="309" spans="3:7">
      <c r="C309" t="s">
        <v>249</v>
      </c>
      <c r="D309" t="s">
        <v>250</v>
      </c>
      <c r="E309" t="s">
        <v>251</v>
      </c>
      <c r="F309" t="s">
        <v>557</v>
      </c>
      <c r="G309" t="s">
        <v>561</v>
      </c>
    </row>
    <row r="310" spans="3:7">
      <c r="C310" t="s">
        <v>249</v>
      </c>
      <c r="D310" t="s">
        <v>250</v>
      </c>
      <c r="E310" t="s">
        <v>251</v>
      </c>
      <c r="F310" t="s">
        <v>557</v>
      </c>
      <c r="G310" t="s">
        <v>562</v>
      </c>
    </row>
    <row r="311" spans="3:7">
      <c r="C311" t="s">
        <v>249</v>
      </c>
      <c r="D311" t="s">
        <v>250</v>
      </c>
      <c r="E311" t="s">
        <v>251</v>
      </c>
      <c r="F311" t="s">
        <v>557</v>
      </c>
      <c r="G311" t="s">
        <v>563</v>
      </c>
    </row>
    <row r="312" spans="3:7">
      <c r="C312" t="s">
        <v>249</v>
      </c>
      <c r="D312" t="s">
        <v>250</v>
      </c>
      <c r="E312" t="s">
        <v>251</v>
      </c>
      <c r="F312" t="s">
        <v>557</v>
      </c>
      <c r="G312" t="s">
        <v>564</v>
      </c>
    </row>
    <row r="313" spans="3:7">
      <c r="C313" t="s">
        <v>249</v>
      </c>
      <c r="D313" t="s">
        <v>250</v>
      </c>
      <c r="E313" t="s">
        <v>251</v>
      </c>
      <c r="F313" t="s">
        <v>557</v>
      </c>
      <c r="G313" t="s">
        <v>565</v>
      </c>
    </row>
    <row r="314" spans="3:7">
      <c r="C314" t="s">
        <v>249</v>
      </c>
      <c r="D314" t="s">
        <v>250</v>
      </c>
      <c r="E314" t="s">
        <v>251</v>
      </c>
      <c r="F314" t="s">
        <v>557</v>
      </c>
      <c r="G314" t="s">
        <v>566</v>
      </c>
    </row>
    <row r="315" spans="3:7">
      <c r="C315" t="s">
        <v>249</v>
      </c>
      <c r="D315" t="s">
        <v>250</v>
      </c>
      <c r="E315" t="s">
        <v>251</v>
      </c>
      <c r="F315" t="s">
        <v>557</v>
      </c>
      <c r="G315" t="s">
        <v>567</v>
      </c>
    </row>
    <row r="316" spans="3:7">
      <c r="C316" t="s">
        <v>249</v>
      </c>
      <c r="D316" t="s">
        <v>250</v>
      </c>
      <c r="E316" t="s">
        <v>251</v>
      </c>
      <c r="F316" t="s">
        <v>557</v>
      </c>
      <c r="G316" t="s">
        <v>568</v>
      </c>
    </row>
    <row r="317" spans="3:7">
      <c r="C317" t="s">
        <v>249</v>
      </c>
      <c r="D317" t="s">
        <v>250</v>
      </c>
      <c r="E317" t="s">
        <v>251</v>
      </c>
      <c r="F317" t="s">
        <v>557</v>
      </c>
      <c r="G317" t="s">
        <v>569</v>
      </c>
    </row>
    <row r="318" spans="3:7">
      <c r="C318" t="s">
        <v>249</v>
      </c>
      <c r="D318" t="s">
        <v>250</v>
      </c>
      <c r="E318" t="s">
        <v>251</v>
      </c>
      <c r="F318" t="s">
        <v>557</v>
      </c>
      <c r="G318" t="s">
        <v>570</v>
      </c>
    </row>
    <row r="319" spans="3:7">
      <c r="C319" t="s">
        <v>249</v>
      </c>
      <c r="D319" t="s">
        <v>250</v>
      </c>
      <c r="E319" t="s">
        <v>251</v>
      </c>
      <c r="F319" t="s">
        <v>557</v>
      </c>
      <c r="G319" t="s">
        <v>571</v>
      </c>
    </row>
    <row r="320" spans="3:7">
      <c r="C320" t="s">
        <v>249</v>
      </c>
      <c r="D320" t="s">
        <v>250</v>
      </c>
      <c r="E320" t="s">
        <v>251</v>
      </c>
      <c r="F320" t="s">
        <v>557</v>
      </c>
      <c r="G320" t="s">
        <v>572</v>
      </c>
    </row>
    <row r="321" spans="3:7">
      <c r="C321" t="s">
        <v>249</v>
      </c>
      <c r="D321" t="s">
        <v>250</v>
      </c>
      <c r="E321" t="s">
        <v>251</v>
      </c>
      <c r="F321" t="s">
        <v>557</v>
      </c>
      <c r="G321" t="s">
        <v>573</v>
      </c>
    </row>
    <row r="322" spans="3:7">
      <c r="C322" t="s">
        <v>249</v>
      </c>
      <c r="D322" t="s">
        <v>250</v>
      </c>
      <c r="E322" t="s">
        <v>251</v>
      </c>
      <c r="F322" t="s">
        <v>557</v>
      </c>
      <c r="G322" t="s">
        <v>574</v>
      </c>
    </row>
    <row r="323" spans="3:7">
      <c r="C323" t="s">
        <v>249</v>
      </c>
      <c r="D323" t="s">
        <v>250</v>
      </c>
      <c r="E323" t="s">
        <v>251</v>
      </c>
      <c r="F323" t="s">
        <v>557</v>
      </c>
      <c r="G323" t="s">
        <v>575</v>
      </c>
    </row>
    <row r="324" spans="3:7">
      <c r="C324" t="s">
        <v>249</v>
      </c>
      <c r="D324" t="s">
        <v>250</v>
      </c>
      <c r="E324" t="s">
        <v>251</v>
      </c>
      <c r="F324" t="s">
        <v>557</v>
      </c>
      <c r="G324" t="s">
        <v>576</v>
      </c>
    </row>
    <row r="325" spans="3:7">
      <c r="C325" t="s">
        <v>249</v>
      </c>
      <c r="D325" t="s">
        <v>250</v>
      </c>
      <c r="E325" t="s">
        <v>251</v>
      </c>
      <c r="F325" t="s">
        <v>557</v>
      </c>
      <c r="G325" t="s">
        <v>577</v>
      </c>
    </row>
    <row r="326" spans="3:7">
      <c r="C326" t="s">
        <v>249</v>
      </c>
      <c r="D326" t="s">
        <v>250</v>
      </c>
      <c r="E326" t="s">
        <v>251</v>
      </c>
      <c r="F326" t="s">
        <v>557</v>
      </c>
      <c r="G326" t="s">
        <v>578</v>
      </c>
    </row>
    <row r="327" spans="3:7">
      <c r="C327" t="s">
        <v>249</v>
      </c>
      <c r="D327" t="s">
        <v>250</v>
      </c>
      <c r="E327" t="s">
        <v>251</v>
      </c>
      <c r="F327" t="s">
        <v>557</v>
      </c>
      <c r="G327" t="s">
        <v>579</v>
      </c>
    </row>
    <row r="328" spans="3:7">
      <c r="C328" t="s">
        <v>249</v>
      </c>
      <c r="D328" t="s">
        <v>250</v>
      </c>
      <c r="E328" t="s">
        <v>251</v>
      </c>
      <c r="F328" t="s">
        <v>557</v>
      </c>
      <c r="G328" t="s">
        <v>580</v>
      </c>
    </row>
    <row r="329" spans="3:7">
      <c r="C329" t="s">
        <v>249</v>
      </c>
      <c r="D329" t="s">
        <v>250</v>
      </c>
      <c r="E329" t="s">
        <v>251</v>
      </c>
      <c r="F329" t="s">
        <v>557</v>
      </c>
      <c r="G329" t="s">
        <v>581</v>
      </c>
    </row>
    <row r="330" spans="3:7">
      <c r="C330" t="s">
        <v>249</v>
      </c>
      <c r="D330" t="s">
        <v>250</v>
      </c>
      <c r="E330" t="s">
        <v>251</v>
      </c>
      <c r="F330" t="s">
        <v>557</v>
      </c>
      <c r="G330" t="s">
        <v>582</v>
      </c>
    </row>
    <row r="331" spans="3:7">
      <c r="C331" t="s">
        <v>249</v>
      </c>
      <c r="D331" t="s">
        <v>250</v>
      </c>
      <c r="E331" t="s">
        <v>251</v>
      </c>
      <c r="F331" t="s">
        <v>557</v>
      </c>
      <c r="G331" t="s">
        <v>583</v>
      </c>
    </row>
    <row r="332" spans="3:7">
      <c r="C332" t="s">
        <v>249</v>
      </c>
      <c r="D332" t="s">
        <v>250</v>
      </c>
      <c r="E332" t="s">
        <v>251</v>
      </c>
      <c r="F332" t="s">
        <v>557</v>
      </c>
      <c r="G332" t="s">
        <v>584</v>
      </c>
    </row>
    <row r="333" spans="3:7">
      <c r="C333" t="s">
        <v>249</v>
      </c>
      <c r="D333" t="s">
        <v>250</v>
      </c>
      <c r="E333" t="s">
        <v>251</v>
      </c>
      <c r="F333" t="s">
        <v>557</v>
      </c>
      <c r="G333" t="s">
        <v>585</v>
      </c>
    </row>
    <row r="334" spans="3:7">
      <c r="C334" t="s">
        <v>249</v>
      </c>
      <c r="D334" t="s">
        <v>250</v>
      </c>
      <c r="E334" t="s">
        <v>251</v>
      </c>
      <c r="F334" t="s">
        <v>557</v>
      </c>
      <c r="G334" t="s">
        <v>586</v>
      </c>
    </row>
    <row r="335" spans="3:7">
      <c r="C335" t="s">
        <v>249</v>
      </c>
      <c r="D335" t="s">
        <v>250</v>
      </c>
      <c r="E335" t="s">
        <v>251</v>
      </c>
      <c r="F335" t="s">
        <v>557</v>
      </c>
      <c r="G335" t="s">
        <v>587</v>
      </c>
    </row>
    <row r="336" spans="3:7">
      <c r="C336" t="s">
        <v>249</v>
      </c>
      <c r="D336" t="s">
        <v>250</v>
      </c>
      <c r="E336" t="s">
        <v>251</v>
      </c>
      <c r="F336" t="s">
        <v>557</v>
      </c>
      <c r="G336" t="s">
        <v>588</v>
      </c>
    </row>
    <row r="337" spans="3:7">
      <c r="C337" t="s">
        <v>249</v>
      </c>
      <c r="D337" t="s">
        <v>250</v>
      </c>
      <c r="E337" t="s">
        <v>251</v>
      </c>
      <c r="F337" t="s">
        <v>557</v>
      </c>
      <c r="G337" t="s">
        <v>589</v>
      </c>
    </row>
    <row r="338" spans="3:7">
      <c r="C338" t="s">
        <v>249</v>
      </c>
      <c r="D338" t="s">
        <v>250</v>
      </c>
      <c r="E338" t="s">
        <v>251</v>
      </c>
      <c r="F338" t="s">
        <v>557</v>
      </c>
      <c r="G338" t="s">
        <v>590</v>
      </c>
    </row>
    <row r="339" spans="3:7">
      <c r="C339" t="s">
        <v>249</v>
      </c>
      <c r="D339" t="s">
        <v>250</v>
      </c>
      <c r="E339" t="s">
        <v>251</v>
      </c>
      <c r="F339" t="s">
        <v>557</v>
      </c>
      <c r="G339" t="s">
        <v>591</v>
      </c>
    </row>
    <row r="340" spans="3:7">
      <c r="C340" t="s">
        <v>249</v>
      </c>
      <c r="D340" t="s">
        <v>250</v>
      </c>
      <c r="E340" t="s">
        <v>251</v>
      </c>
      <c r="F340" t="s">
        <v>557</v>
      </c>
      <c r="G340" t="s">
        <v>592</v>
      </c>
    </row>
    <row r="341" spans="3:7">
      <c r="C341" t="s">
        <v>249</v>
      </c>
      <c r="D341" t="s">
        <v>250</v>
      </c>
      <c r="E341" t="s">
        <v>251</v>
      </c>
      <c r="F341" t="s">
        <v>557</v>
      </c>
      <c r="G341" t="s">
        <v>593</v>
      </c>
    </row>
    <row r="342" spans="3:7">
      <c r="C342" t="s">
        <v>249</v>
      </c>
      <c r="D342" t="s">
        <v>250</v>
      </c>
      <c r="E342" t="s">
        <v>251</v>
      </c>
      <c r="F342" t="s">
        <v>557</v>
      </c>
      <c r="G342" t="s">
        <v>594</v>
      </c>
    </row>
    <row r="343" spans="3:7">
      <c r="C343" t="s">
        <v>249</v>
      </c>
      <c r="D343" t="s">
        <v>250</v>
      </c>
      <c r="E343" t="s">
        <v>251</v>
      </c>
      <c r="F343" t="s">
        <v>557</v>
      </c>
      <c r="G343" t="s">
        <v>595</v>
      </c>
    </row>
    <row r="344" spans="3:7">
      <c r="C344" t="s">
        <v>249</v>
      </c>
      <c r="D344" t="s">
        <v>250</v>
      </c>
      <c r="E344" t="s">
        <v>251</v>
      </c>
      <c r="F344" t="s">
        <v>557</v>
      </c>
      <c r="G344" t="s">
        <v>596</v>
      </c>
    </row>
    <row r="345" spans="3:7">
      <c r="C345" t="s">
        <v>249</v>
      </c>
      <c r="D345" t="s">
        <v>250</v>
      </c>
      <c r="E345" t="s">
        <v>251</v>
      </c>
      <c r="F345" t="s">
        <v>557</v>
      </c>
      <c r="G345" t="s">
        <v>597</v>
      </c>
    </row>
    <row r="346" spans="3:7">
      <c r="C346" t="s">
        <v>249</v>
      </c>
      <c r="D346" t="s">
        <v>250</v>
      </c>
      <c r="E346" t="s">
        <v>251</v>
      </c>
      <c r="F346" t="s">
        <v>557</v>
      </c>
      <c r="G346" t="s">
        <v>598</v>
      </c>
    </row>
    <row r="347" spans="3:7">
      <c r="C347" t="s">
        <v>249</v>
      </c>
      <c r="D347" t="s">
        <v>250</v>
      </c>
      <c r="E347" t="s">
        <v>251</v>
      </c>
      <c r="F347" t="s">
        <v>557</v>
      </c>
      <c r="G347" t="s">
        <v>599</v>
      </c>
    </row>
    <row r="348" spans="3:7">
      <c r="C348" t="s">
        <v>249</v>
      </c>
      <c r="D348" t="s">
        <v>250</v>
      </c>
      <c r="E348" t="s">
        <v>251</v>
      </c>
      <c r="F348" t="s">
        <v>557</v>
      </c>
      <c r="G348" t="s">
        <v>600</v>
      </c>
    </row>
    <row r="349" spans="3:7">
      <c r="C349" t="s">
        <v>249</v>
      </c>
      <c r="D349" t="s">
        <v>250</v>
      </c>
      <c r="E349" t="s">
        <v>251</v>
      </c>
      <c r="F349" t="s">
        <v>557</v>
      </c>
      <c r="G349" t="s">
        <v>601</v>
      </c>
    </row>
    <row r="350" spans="3:7">
      <c r="C350" t="s">
        <v>249</v>
      </c>
      <c r="D350" t="s">
        <v>250</v>
      </c>
      <c r="E350" t="s">
        <v>251</v>
      </c>
      <c r="F350" t="s">
        <v>557</v>
      </c>
      <c r="G350" t="s">
        <v>602</v>
      </c>
    </row>
    <row r="351" spans="3:7">
      <c r="C351" t="s">
        <v>249</v>
      </c>
      <c r="D351" t="s">
        <v>250</v>
      </c>
      <c r="E351" t="s">
        <v>251</v>
      </c>
      <c r="F351" t="s">
        <v>557</v>
      </c>
      <c r="G351" t="s">
        <v>603</v>
      </c>
    </row>
    <row r="352" spans="3:7">
      <c r="C352" t="s">
        <v>249</v>
      </c>
      <c r="D352" t="s">
        <v>250</v>
      </c>
      <c r="E352" t="s">
        <v>251</v>
      </c>
      <c r="F352" t="s">
        <v>557</v>
      </c>
      <c r="G352" t="s">
        <v>604</v>
      </c>
    </row>
    <row r="353" spans="3:7">
      <c r="C353" t="s">
        <v>249</v>
      </c>
      <c r="D353" t="s">
        <v>250</v>
      </c>
      <c r="E353" t="s">
        <v>251</v>
      </c>
      <c r="F353" t="s">
        <v>557</v>
      </c>
      <c r="G353" t="s">
        <v>605</v>
      </c>
    </row>
    <row r="354" spans="3:7">
      <c r="C354" t="s">
        <v>249</v>
      </c>
      <c r="D354" t="s">
        <v>250</v>
      </c>
      <c r="E354" t="s">
        <v>251</v>
      </c>
      <c r="F354" t="s">
        <v>557</v>
      </c>
      <c r="G354" t="s">
        <v>606</v>
      </c>
    </row>
    <row r="355" spans="3:7">
      <c r="C355" t="s">
        <v>249</v>
      </c>
      <c r="D355" t="s">
        <v>250</v>
      </c>
      <c r="E355" t="s">
        <v>251</v>
      </c>
      <c r="F355" t="s">
        <v>557</v>
      </c>
      <c r="G355" t="s">
        <v>607</v>
      </c>
    </row>
    <row r="356" spans="3:7">
      <c r="C356" t="s">
        <v>249</v>
      </c>
      <c r="D356" t="s">
        <v>250</v>
      </c>
      <c r="E356" t="s">
        <v>251</v>
      </c>
      <c r="F356" t="s">
        <v>557</v>
      </c>
      <c r="G356" t="s">
        <v>608</v>
      </c>
    </row>
    <row r="357" spans="3:7">
      <c r="C357" t="s">
        <v>249</v>
      </c>
      <c r="D357" t="s">
        <v>250</v>
      </c>
      <c r="E357" t="s">
        <v>251</v>
      </c>
      <c r="F357" t="s">
        <v>557</v>
      </c>
      <c r="G357" t="s">
        <v>609</v>
      </c>
    </row>
    <row r="358" spans="3:7">
      <c r="C358" t="s">
        <v>249</v>
      </c>
      <c r="D358" t="s">
        <v>250</v>
      </c>
      <c r="E358" t="s">
        <v>251</v>
      </c>
      <c r="F358" t="s">
        <v>557</v>
      </c>
      <c r="G358" t="s">
        <v>610</v>
      </c>
    </row>
    <row r="359" spans="3:7">
      <c r="C359" t="s">
        <v>249</v>
      </c>
      <c r="D359" t="s">
        <v>250</v>
      </c>
      <c r="E359" t="s">
        <v>251</v>
      </c>
      <c r="F359" t="s">
        <v>557</v>
      </c>
      <c r="G359" t="s">
        <v>611</v>
      </c>
    </row>
    <row r="360" spans="3:7">
      <c r="C360" t="s">
        <v>249</v>
      </c>
      <c r="D360" t="s">
        <v>250</v>
      </c>
      <c r="E360" t="s">
        <v>251</v>
      </c>
      <c r="F360" t="s">
        <v>557</v>
      </c>
      <c r="G360" t="s">
        <v>612</v>
      </c>
    </row>
    <row r="361" spans="3:7">
      <c r="C361" t="s">
        <v>249</v>
      </c>
      <c r="D361" t="s">
        <v>250</v>
      </c>
      <c r="E361" t="s">
        <v>251</v>
      </c>
      <c r="F361" t="s">
        <v>557</v>
      </c>
      <c r="G361" t="s">
        <v>613</v>
      </c>
    </row>
    <row r="362" spans="3:7">
      <c r="C362" t="s">
        <v>249</v>
      </c>
      <c r="D362" t="s">
        <v>250</v>
      </c>
      <c r="E362" t="s">
        <v>251</v>
      </c>
      <c r="F362" t="s">
        <v>557</v>
      </c>
      <c r="G362" t="s">
        <v>614</v>
      </c>
    </row>
    <row r="363" spans="3:7">
      <c r="C363" t="s">
        <v>249</v>
      </c>
      <c r="D363" t="s">
        <v>250</v>
      </c>
      <c r="E363" t="s">
        <v>251</v>
      </c>
      <c r="F363" t="s">
        <v>557</v>
      </c>
      <c r="G363" t="s">
        <v>615</v>
      </c>
    </row>
    <row r="364" spans="3:7">
      <c r="C364" t="s">
        <v>249</v>
      </c>
      <c r="D364" t="s">
        <v>250</v>
      </c>
      <c r="E364" t="s">
        <v>251</v>
      </c>
      <c r="F364" t="s">
        <v>557</v>
      </c>
      <c r="G364" t="s">
        <v>616</v>
      </c>
    </row>
    <row r="365" spans="3:7">
      <c r="C365" t="s">
        <v>249</v>
      </c>
      <c r="D365" t="s">
        <v>250</v>
      </c>
      <c r="E365" t="s">
        <v>251</v>
      </c>
      <c r="F365" t="s">
        <v>557</v>
      </c>
      <c r="G365" t="s">
        <v>617</v>
      </c>
    </row>
    <row r="366" spans="3:7">
      <c r="C366" t="s">
        <v>249</v>
      </c>
      <c r="D366" t="s">
        <v>250</v>
      </c>
      <c r="E366" t="s">
        <v>251</v>
      </c>
      <c r="F366" t="s">
        <v>557</v>
      </c>
      <c r="G366" t="s">
        <v>618</v>
      </c>
    </row>
    <row r="367" spans="3:7">
      <c r="C367" t="s">
        <v>249</v>
      </c>
      <c r="D367" t="s">
        <v>250</v>
      </c>
      <c r="E367" t="s">
        <v>251</v>
      </c>
      <c r="F367" t="s">
        <v>557</v>
      </c>
      <c r="G367" t="s">
        <v>619</v>
      </c>
    </row>
    <row r="368" spans="3:7">
      <c r="C368" t="s">
        <v>249</v>
      </c>
      <c r="D368" t="s">
        <v>250</v>
      </c>
      <c r="E368" t="s">
        <v>251</v>
      </c>
      <c r="F368" t="s">
        <v>557</v>
      </c>
      <c r="G368" t="s">
        <v>620</v>
      </c>
    </row>
    <row r="369" spans="3:7">
      <c r="C369" t="s">
        <v>249</v>
      </c>
      <c r="D369" t="s">
        <v>250</v>
      </c>
      <c r="E369" t="s">
        <v>251</v>
      </c>
      <c r="F369" t="s">
        <v>557</v>
      </c>
      <c r="G369" t="s">
        <v>621</v>
      </c>
    </row>
    <row r="370" spans="3:7">
      <c r="C370" t="s">
        <v>249</v>
      </c>
      <c r="D370" t="s">
        <v>250</v>
      </c>
      <c r="E370" t="s">
        <v>251</v>
      </c>
      <c r="F370" t="s">
        <v>557</v>
      </c>
      <c r="G370" t="s">
        <v>622</v>
      </c>
    </row>
    <row r="371" spans="3:7">
      <c r="C371" t="s">
        <v>249</v>
      </c>
      <c r="D371" t="s">
        <v>250</v>
      </c>
      <c r="E371" t="s">
        <v>251</v>
      </c>
      <c r="F371" t="s">
        <v>557</v>
      </c>
      <c r="G371" t="s">
        <v>623</v>
      </c>
    </row>
    <row r="372" spans="3:7">
      <c r="C372" t="s">
        <v>249</v>
      </c>
      <c r="D372" t="s">
        <v>250</v>
      </c>
      <c r="E372" t="s">
        <v>251</v>
      </c>
      <c r="F372" t="s">
        <v>557</v>
      </c>
      <c r="G372" t="s">
        <v>624</v>
      </c>
    </row>
    <row r="373" spans="3:7">
      <c r="C373" t="s">
        <v>249</v>
      </c>
      <c r="D373" t="s">
        <v>250</v>
      </c>
      <c r="E373" t="s">
        <v>251</v>
      </c>
      <c r="F373" t="s">
        <v>557</v>
      </c>
      <c r="G373" t="s">
        <v>625</v>
      </c>
    </row>
    <row r="374" spans="3:7">
      <c r="C374" t="s">
        <v>249</v>
      </c>
      <c r="D374" t="s">
        <v>250</v>
      </c>
      <c r="E374" t="s">
        <v>251</v>
      </c>
      <c r="F374" t="s">
        <v>557</v>
      </c>
      <c r="G374" t="s">
        <v>626</v>
      </c>
    </row>
    <row r="375" spans="3:7">
      <c r="C375" t="s">
        <v>249</v>
      </c>
      <c r="D375" t="s">
        <v>250</v>
      </c>
      <c r="E375" t="s">
        <v>251</v>
      </c>
      <c r="F375" t="s">
        <v>557</v>
      </c>
      <c r="G375" t="s">
        <v>627</v>
      </c>
    </row>
    <row r="376" spans="3:7">
      <c r="C376" t="s">
        <v>249</v>
      </c>
      <c r="D376" t="s">
        <v>250</v>
      </c>
      <c r="E376" t="s">
        <v>251</v>
      </c>
      <c r="F376" t="s">
        <v>557</v>
      </c>
      <c r="G376" t="s">
        <v>628</v>
      </c>
    </row>
    <row r="377" spans="3:7">
      <c r="C377" t="s">
        <v>249</v>
      </c>
      <c r="D377" t="s">
        <v>250</v>
      </c>
      <c r="E377" t="s">
        <v>251</v>
      </c>
      <c r="F377" t="s">
        <v>557</v>
      </c>
      <c r="G377" t="s">
        <v>629</v>
      </c>
    </row>
    <row r="378" spans="3:7">
      <c r="C378" t="s">
        <v>249</v>
      </c>
      <c r="D378" t="s">
        <v>250</v>
      </c>
      <c r="E378" t="s">
        <v>251</v>
      </c>
      <c r="F378" t="s">
        <v>557</v>
      </c>
      <c r="G378" t="s">
        <v>630</v>
      </c>
    </row>
    <row r="379" spans="3:7">
      <c r="C379" t="s">
        <v>249</v>
      </c>
      <c r="D379" t="s">
        <v>250</v>
      </c>
      <c r="E379" t="s">
        <v>251</v>
      </c>
      <c r="F379" t="s">
        <v>557</v>
      </c>
      <c r="G379" t="s">
        <v>631</v>
      </c>
    </row>
    <row r="380" spans="3:7">
      <c r="C380" t="s">
        <v>249</v>
      </c>
      <c r="D380" t="s">
        <v>250</v>
      </c>
      <c r="E380" t="s">
        <v>251</v>
      </c>
      <c r="F380" t="s">
        <v>557</v>
      </c>
      <c r="G380" t="s">
        <v>632</v>
      </c>
    </row>
    <row r="381" spans="3:7">
      <c r="C381" t="s">
        <v>249</v>
      </c>
      <c r="D381" t="s">
        <v>250</v>
      </c>
      <c r="E381" t="s">
        <v>251</v>
      </c>
      <c r="F381" t="s">
        <v>557</v>
      </c>
      <c r="G381" t="s">
        <v>633</v>
      </c>
    </row>
    <row r="382" spans="3:7">
      <c r="C382" t="s">
        <v>249</v>
      </c>
      <c r="D382" t="s">
        <v>250</v>
      </c>
      <c r="E382" t="s">
        <v>251</v>
      </c>
      <c r="F382" t="s">
        <v>557</v>
      </c>
      <c r="G382" t="s">
        <v>634</v>
      </c>
    </row>
    <row r="383" spans="3:7">
      <c r="C383" t="s">
        <v>249</v>
      </c>
      <c r="D383" t="s">
        <v>250</v>
      </c>
      <c r="E383" t="s">
        <v>251</v>
      </c>
      <c r="F383" t="s">
        <v>557</v>
      </c>
      <c r="G383" t="s">
        <v>635</v>
      </c>
    </row>
    <row r="384" spans="3:7">
      <c r="C384" t="s">
        <v>249</v>
      </c>
      <c r="D384" t="s">
        <v>250</v>
      </c>
      <c r="E384" t="s">
        <v>251</v>
      </c>
      <c r="F384" t="s">
        <v>557</v>
      </c>
      <c r="G384" t="s">
        <v>636</v>
      </c>
    </row>
    <row r="385" spans="3:7">
      <c r="C385" t="s">
        <v>249</v>
      </c>
      <c r="D385" t="s">
        <v>250</v>
      </c>
      <c r="E385" t="s">
        <v>251</v>
      </c>
      <c r="F385" t="s">
        <v>557</v>
      </c>
      <c r="G385" t="s">
        <v>637</v>
      </c>
    </row>
    <row r="386" spans="3:7">
      <c r="C386" t="s">
        <v>249</v>
      </c>
      <c r="D386" t="s">
        <v>250</v>
      </c>
      <c r="E386" t="s">
        <v>251</v>
      </c>
      <c r="F386" t="s">
        <v>557</v>
      </c>
      <c r="G386" t="s">
        <v>638</v>
      </c>
    </row>
    <row r="387" spans="3:7">
      <c r="C387" t="s">
        <v>249</v>
      </c>
      <c r="D387" t="s">
        <v>250</v>
      </c>
      <c r="E387" t="s">
        <v>251</v>
      </c>
      <c r="F387" t="s">
        <v>557</v>
      </c>
      <c r="G387" t="s">
        <v>639</v>
      </c>
    </row>
    <row r="388" spans="3:7">
      <c r="C388" t="s">
        <v>249</v>
      </c>
      <c r="D388" t="s">
        <v>250</v>
      </c>
      <c r="E388" t="s">
        <v>251</v>
      </c>
      <c r="F388" t="s">
        <v>557</v>
      </c>
      <c r="G388" t="s">
        <v>640</v>
      </c>
    </row>
    <row r="389" spans="3:7">
      <c r="C389" t="s">
        <v>249</v>
      </c>
      <c r="D389" t="s">
        <v>250</v>
      </c>
      <c r="E389" t="s">
        <v>251</v>
      </c>
      <c r="F389" t="s">
        <v>557</v>
      </c>
      <c r="G389" t="s">
        <v>641</v>
      </c>
    </row>
    <row r="390" spans="3:7">
      <c r="C390" t="s">
        <v>249</v>
      </c>
      <c r="D390" t="s">
        <v>250</v>
      </c>
      <c r="E390" t="s">
        <v>251</v>
      </c>
      <c r="F390" t="s">
        <v>557</v>
      </c>
      <c r="G390" t="s">
        <v>642</v>
      </c>
    </row>
    <row r="391" spans="3:7">
      <c r="C391" t="s">
        <v>249</v>
      </c>
      <c r="D391" t="s">
        <v>250</v>
      </c>
      <c r="E391" t="s">
        <v>251</v>
      </c>
      <c r="F391" t="s">
        <v>557</v>
      </c>
      <c r="G391" t="s">
        <v>643</v>
      </c>
    </row>
    <row r="392" spans="3:7">
      <c r="C392" t="s">
        <v>249</v>
      </c>
      <c r="D392" t="s">
        <v>250</v>
      </c>
      <c r="E392" t="s">
        <v>251</v>
      </c>
      <c r="F392" t="s">
        <v>557</v>
      </c>
      <c r="G392" t="s">
        <v>644</v>
      </c>
    </row>
    <row r="393" spans="3:7">
      <c r="C393" t="s">
        <v>249</v>
      </c>
      <c r="D393" t="s">
        <v>250</v>
      </c>
      <c r="E393" t="s">
        <v>251</v>
      </c>
      <c r="F393" t="s">
        <v>557</v>
      </c>
      <c r="G393" t="s">
        <v>645</v>
      </c>
    </row>
    <row r="394" spans="3:7">
      <c r="C394" t="s">
        <v>249</v>
      </c>
      <c r="D394" t="s">
        <v>250</v>
      </c>
      <c r="E394" t="s">
        <v>251</v>
      </c>
      <c r="F394" t="s">
        <v>557</v>
      </c>
      <c r="G394" t="s">
        <v>646</v>
      </c>
    </row>
    <row r="395" spans="3:7">
      <c r="C395" t="s">
        <v>249</v>
      </c>
      <c r="D395" t="s">
        <v>250</v>
      </c>
      <c r="E395" t="s">
        <v>251</v>
      </c>
      <c r="F395" t="s">
        <v>557</v>
      </c>
      <c r="G395" t="s">
        <v>647</v>
      </c>
    </row>
    <row r="396" spans="3:7">
      <c r="C396" t="s">
        <v>249</v>
      </c>
      <c r="D396" t="s">
        <v>250</v>
      </c>
      <c r="E396" t="s">
        <v>251</v>
      </c>
      <c r="F396" t="s">
        <v>557</v>
      </c>
      <c r="G396" t="s">
        <v>648</v>
      </c>
    </row>
    <row r="397" spans="3:7">
      <c r="C397" t="s">
        <v>249</v>
      </c>
      <c r="D397" t="s">
        <v>250</v>
      </c>
      <c r="E397" t="s">
        <v>251</v>
      </c>
      <c r="F397" t="s">
        <v>557</v>
      </c>
      <c r="G397" t="s">
        <v>649</v>
      </c>
    </row>
    <row r="398" spans="3:7">
      <c r="C398" t="s">
        <v>249</v>
      </c>
      <c r="D398" t="s">
        <v>250</v>
      </c>
      <c r="E398" t="s">
        <v>251</v>
      </c>
      <c r="F398" t="s">
        <v>557</v>
      </c>
      <c r="G398" t="s">
        <v>650</v>
      </c>
    </row>
    <row r="399" spans="3:7">
      <c r="C399" t="s">
        <v>249</v>
      </c>
      <c r="D399" t="s">
        <v>250</v>
      </c>
      <c r="E399" t="s">
        <v>251</v>
      </c>
      <c r="F399" t="s">
        <v>557</v>
      </c>
      <c r="G399" t="s">
        <v>651</v>
      </c>
    </row>
    <row r="400" spans="3:7">
      <c r="C400" t="s">
        <v>249</v>
      </c>
      <c r="D400" t="s">
        <v>250</v>
      </c>
      <c r="E400" t="s">
        <v>251</v>
      </c>
      <c r="F400" t="s">
        <v>557</v>
      </c>
      <c r="G400" t="s">
        <v>652</v>
      </c>
    </row>
    <row r="401" spans="3:7">
      <c r="C401" t="s">
        <v>249</v>
      </c>
      <c r="D401" t="s">
        <v>250</v>
      </c>
      <c r="E401" t="s">
        <v>251</v>
      </c>
      <c r="F401" t="s">
        <v>557</v>
      </c>
      <c r="G401" t="s">
        <v>653</v>
      </c>
    </row>
    <row r="402" spans="3:7">
      <c r="C402" t="s">
        <v>249</v>
      </c>
      <c r="D402" t="s">
        <v>250</v>
      </c>
      <c r="E402" t="s">
        <v>251</v>
      </c>
      <c r="F402" t="s">
        <v>557</v>
      </c>
      <c r="G402" t="s">
        <v>654</v>
      </c>
    </row>
    <row r="403" spans="3:7">
      <c r="C403" t="s">
        <v>249</v>
      </c>
      <c r="D403" t="s">
        <v>250</v>
      </c>
      <c r="E403" t="s">
        <v>251</v>
      </c>
      <c r="F403" t="s">
        <v>557</v>
      </c>
      <c r="G403" t="s">
        <v>655</v>
      </c>
    </row>
    <row r="404" spans="3:7">
      <c r="C404" t="s">
        <v>249</v>
      </c>
      <c r="D404" t="s">
        <v>250</v>
      </c>
      <c r="E404" t="s">
        <v>251</v>
      </c>
      <c r="F404" t="s">
        <v>557</v>
      </c>
      <c r="G404" t="s">
        <v>656</v>
      </c>
    </row>
    <row r="405" spans="3:7">
      <c r="C405" t="s">
        <v>249</v>
      </c>
      <c r="D405" t="s">
        <v>250</v>
      </c>
      <c r="E405" t="s">
        <v>251</v>
      </c>
      <c r="F405" t="s">
        <v>557</v>
      </c>
      <c r="G405" t="s">
        <v>657</v>
      </c>
    </row>
    <row r="406" spans="3:7">
      <c r="C406" t="s">
        <v>249</v>
      </c>
      <c r="D406" t="s">
        <v>250</v>
      </c>
      <c r="E406" t="s">
        <v>251</v>
      </c>
      <c r="F406" t="s">
        <v>557</v>
      </c>
      <c r="G406" t="s">
        <v>658</v>
      </c>
    </row>
    <row r="407" spans="3:7">
      <c r="C407" t="s">
        <v>249</v>
      </c>
      <c r="D407" t="s">
        <v>250</v>
      </c>
      <c r="E407" t="s">
        <v>251</v>
      </c>
      <c r="F407" t="s">
        <v>557</v>
      </c>
      <c r="G407" t="s">
        <v>659</v>
      </c>
    </row>
    <row r="408" spans="3:7">
      <c r="C408" t="s">
        <v>249</v>
      </c>
      <c r="D408" t="s">
        <v>250</v>
      </c>
      <c r="E408" t="s">
        <v>251</v>
      </c>
      <c r="F408" t="s">
        <v>557</v>
      </c>
      <c r="G408" t="s">
        <v>660</v>
      </c>
    </row>
    <row r="409" spans="3:7">
      <c r="C409" t="s">
        <v>249</v>
      </c>
      <c r="D409" t="s">
        <v>250</v>
      </c>
      <c r="E409" t="s">
        <v>251</v>
      </c>
      <c r="F409" t="s">
        <v>557</v>
      </c>
      <c r="G409" t="s">
        <v>661</v>
      </c>
    </row>
    <row r="410" spans="3:7">
      <c r="C410" t="s">
        <v>249</v>
      </c>
      <c r="D410" t="s">
        <v>250</v>
      </c>
      <c r="E410" t="s">
        <v>251</v>
      </c>
      <c r="F410" t="s">
        <v>557</v>
      </c>
      <c r="G410" t="s">
        <v>662</v>
      </c>
    </row>
    <row r="411" spans="3:7">
      <c r="C411" t="s">
        <v>249</v>
      </c>
      <c r="D411" t="s">
        <v>250</v>
      </c>
      <c r="E411" t="s">
        <v>251</v>
      </c>
      <c r="F411" t="s">
        <v>557</v>
      </c>
      <c r="G411" t="s">
        <v>663</v>
      </c>
    </row>
    <row r="412" spans="3:7">
      <c r="C412" t="s">
        <v>249</v>
      </c>
      <c r="D412" t="s">
        <v>250</v>
      </c>
      <c r="E412" t="s">
        <v>251</v>
      </c>
      <c r="F412" t="s">
        <v>557</v>
      </c>
      <c r="G412" t="s">
        <v>664</v>
      </c>
    </row>
    <row r="413" spans="3:7">
      <c r="C413" t="s">
        <v>249</v>
      </c>
      <c r="D413" t="s">
        <v>250</v>
      </c>
      <c r="E413" t="s">
        <v>251</v>
      </c>
      <c r="F413" t="s">
        <v>557</v>
      </c>
      <c r="G413" t="s">
        <v>665</v>
      </c>
    </row>
    <row r="414" spans="3:7">
      <c r="C414" t="s">
        <v>249</v>
      </c>
      <c r="D414" t="s">
        <v>250</v>
      </c>
      <c r="E414" t="s">
        <v>251</v>
      </c>
      <c r="F414" t="s">
        <v>557</v>
      </c>
      <c r="G414" t="s">
        <v>666</v>
      </c>
    </row>
    <row r="415" spans="3:7">
      <c r="C415" t="s">
        <v>249</v>
      </c>
      <c r="D415" t="s">
        <v>250</v>
      </c>
      <c r="E415" t="s">
        <v>251</v>
      </c>
      <c r="F415" t="s">
        <v>557</v>
      </c>
      <c r="G415" t="s">
        <v>667</v>
      </c>
    </row>
    <row r="416" spans="3:7">
      <c r="C416" t="s">
        <v>249</v>
      </c>
      <c r="D416" t="s">
        <v>250</v>
      </c>
      <c r="E416" t="s">
        <v>251</v>
      </c>
      <c r="F416" t="s">
        <v>557</v>
      </c>
      <c r="G416" t="s">
        <v>668</v>
      </c>
    </row>
    <row r="417" spans="3:7">
      <c r="C417" t="s">
        <v>249</v>
      </c>
      <c r="D417" t="s">
        <v>250</v>
      </c>
      <c r="E417" t="s">
        <v>251</v>
      </c>
      <c r="F417" t="s">
        <v>557</v>
      </c>
      <c r="G417" t="s">
        <v>669</v>
      </c>
    </row>
    <row r="418" spans="3:7">
      <c r="C418" t="s">
        <v>249</v>
      </c>
      <c r="D418" t="s">
        <v>250</v>
      </c>
      <c r="E418" t="s">
        <v>251</v>
      </c>
      <c r="F418" t="s">
        <v>557</v>
      </c>
      <c r="G418" t="s">
        <v>670</v>
      </c>
    </row>
    <row r="419" spans="3:7">
      <c r="C419" t="s">
        <v>249</v>
      </c>
      <c r="D419" t="s">
        <v>250</v>
      </c>
      <c r="E419" t="s">
        <v>251</v>
      </c>
      <c r="F419" t="s">
        <v>557</v>
      </c>
      <c r="G419" t="s">
        <v>671</v>
      </c>
    </row>
    <row r="420" spans="3:7">
      <c r="C420" t="s">
        <v>249</v>
      </c>
      <c r="D420" t="s">
        <v>250</v>
      </c>
      <c r="E420" t="s">
        <v>251</v>
      </c>
      <c r="F420" t="s">
        <v>557</v>
      </c>
      <c r="G420" t="s">
        <v>672</v>
      </c>
    </row>
    <row r="421" spans="3:7">
      <c r="C421" t="s">
        <v>249</v>
      </c>
      <c r="D421" t="s">
        <v>250</v>
      </c>
      <c r="E421" t="s">
        <v>251</v>
      </c>
      <c r="F421" t="s">
        <v>557</v>
      </c>
      <c r="G421" t="s">
        <v>673</v>
      </c>
    </row>
    <row r="422" spans="3:7">
      <c r="C422" t="s">
        <v>249</v>
      </c>
      <c r="D422" t="s">
        <v>250</v>
      </c>
      <c r="E422" t="s">
        <v>251</v>
      </c>
      <c r="F422" t="s">
        <v>557</v>
      </c>
      <c r="G422" t="s">
        <v>674</v>
      </c>
    </row>
    <row r="423" spans="3:7">
      <c r="C423" t="s">
        <v>249</v>
      </c>
      <c r="D423" t="s">
        <v>250</v>
      </c>
      <c r="E423" t="s">
        <v>251</v>
      </c>
      <c r="F423" t="s">
        <v>557</v>
      </c>
      <c r="G423" t="s">
        <v>675</v>
      </c>
    </row>
    <row r="424" spans="3:7">
      <c r="C424" t="s">
        <v>249</v>
      </c>
      <c r="D424" t="s">
        <v>250</v>
      </c>
      <c r="E424" t="s">
        <v>251</v>
      </c>
      <c r="F424" t="s">
        <v>557</v>
      </c>
      <c r="G424" t="s">
        <v>676</v>
      </c>
    </row>
    <row r="425" spans="3:7">
      <c r="C425" t="s">
        <v>249</v>
      </c>
      <c r="D425" t="s">
        <v>250</v>
      </c>
      <c r="E425" t="s">
        <v>251</v>
      </c>
      <c r="F425" t="s">
        <v>557</v>
      </c>
      <c r="G425" t="s">
        <v>677</v>
      </c>
    </row>
    <row r="426" spans="3:7">
      <c r="C426" t="s">
        <v>249</v>
      </c>
      <c r="D426" t="s">
        <v>250</v>
      </c>
      <c r="E426" t="s">
        <v>251</v>
      </c>
      <c r="F426" t="s">
        <v>557</v>
      </c>
      <c r="G426" t="s">
        <v>678</v>
      </c>
    </row>
    <row r="427" spans="3:7">
      <c r="C427" t="s">
        <v>249</v>
      </c>
      <c r="D427" t="s">
        <v>250</v>
      </c>
      <c r="E427" t="s">
        <v>251</v>
      </c>
      <c r="F427" t="s">
        <v>557</v>
      </c>
      <c r="G427" t="s">
        <v>679</v>
      </c>
    </row>
    <row r="428" spans="3:7">
      <c r="C428" t="s">
        <v>249</v>
      </c>
      <c r="D428" t="s">
        <v>250</v>
      </c>
      <c r="E428" t="s">
        <v>251</v>
      </c>
      <c r="F428" t="s">
        <v>557</v>
      </c>
      <c r="G428" t="s">
        <v>680</v>
      </c>
    </row>
    <row r="429" spans="3:7">
      <c r="C429" t="s">
        <v>249</v>
      </c>
      <c r="D429" t="s">
        <v>250</v>
      </c>
      <c r="E429" t="s">
        <v>251</v>
      </c>
      <c r="F429" t="s">
        <v>557</v>
      </c>
      <c r="G429" t="s">
        <v>681</v>
      </c>
    </row>
    <row r="430" spans="3:7">
      <c r="C430" t="s">
        <v>249</v>
      </c>
      <c r="D430" t="s">
        <v>250</v>
      </c>
      <c r="E430" t="s">
        <v>251</v>
      </c>
      <c r="F430" t="s">
        <v>557</v>
      </c>
      <c r="G430" t="s">
        <v>682</v>
      </c>
    </row>
    <row r="431" spans="3:7">
      <c r="C431" t="s">
        <v>249</v>
      </c>
      <c r="D431" t="s">
        <v>250</v>
      </c>
      <c r="E431" t="s">
        <v>251</v>
      </c>
      <c r="F431" t="s">
        <v>557</v>
      </c>
      <c r="G431" t="s">
        <v>683</v>
      </c>
    </row>
    <row r="432" spans="3:7">
      <c r="C432" t="s">
        <v>249</v>
      </c>
      <c r="D432" t="s">
        <v>250</v>
      </c>
      <c r="E432" t="s">
        <v>251</v>
      </c>
      <c r="F432" t="s">
        <v>557</v>
      </c>
      <c r="G432" t="s">
        <v>684</v>
      </c>
    </row>
    <row r="433" spans="3:7">
      <c r="C433" t="s">
        <v>249</v>
      </c>
      <c r="D433" t="s">
        <v>250</v>
      </c>
      <c r="E433" t="s">
        <v>251</v>
      </c>
      <c r="F433" t="s">
        <v>557</v>
      </c>
      <c r="G433" t="s">
        <v>685</v>
      </c>
    </row>
    <row r="434" spans="3:7">
      <c r="C434" t="s">
        <v>249</v>
      </c>
      <c r="D434" t="s">
        <v>250</v>
      </c>
      <c r="E434" t="s">
        <v>251</v>
      </c>
      <c r="F434" t="s">
        <v>557</v>
      </c>
      <c r="G434" t="s">
        <v>686</v>
      </c>
    </row>
    <row r="435" spans="3:7">
      <c r="C435" t="s">
        <v>249</v>
      </c>
      <c r="D435" t="s">
        <v>250</v>
      </c>
      <c r="E435" t="s">
        <v>251</v>
      </c>
      <c r="F435" t="s">
        <v>557</v>
      </c>
      <c r="G435" t="s">
        <v>687</v>
      </c>
    </row>
    <row r="436" spans="3:7">
      <c r="C436" t="s">
        <v>249</v>
      </c>
      <c r="D436" t="s">
        <v>250</v>
      </c>
      <c r="E436" t="s">
        <v>251</v>
      </c>
      <c r="F436" t="s">
        <v>557</v>
      </c>
      <c r="G436" t="s">
        <v>688</v>
      </c>
    </row>
    <row r="437" spans="3:7">
      <c r="C437" t="s">
        <v>249</v>
      </c>
      <c r="D437" t="s">
        <v>250</v>
      </c>
      <c r="E437" t="s">
        <v>251</v>
      </c>
      <c r="F437" t="s">
        <v>557</v>
      </c>
      <c r="G437" t="s">
        <v>689</v>
      </c>
    </row>
    <row r="438" spans="3:7">
      <c r="C438" t="s">
        <v>249</v>
      </c>
      <c r="D438" t="s">
        <v>250</v>
      </c>
      <c r="E438" t="s">
        <v>251</v>
      </c>
      <c r="F438" t="s">
        <v>557</v>
      </c>
      <c r="G438" t="s">
        <v>690</v>
      </c>
    </row>
    <row r="439" spans="3:7">
      <c r="C439" t="s">
        <v>249</v>
      </c>
      <c r="D439" t="s">
        <v>250</v>
      </c>
      <c r="E439" t="s">
        <v>251</v>
      </c>
      <c r="F439" t="s">
        <v>557</v>
      </c>
      <c r="G439" t="s">
        <v>691</v>
      </c>
    </row>
    <row r="440" spans="3:7">
      <c r="C440" t="s">
        <v>249</v>
      </c>
      <c r="D440" t="s">
        <v>250</v>
      </c>
      <c r="E440" t="s">
        <v>251</v>
      </c>
      <c r="F440" t="s">
        <v>557</v>
      </c>
      <c r="G440" t="s">
        <v>692</v>
      </c>
    </row>
    <row r="441" spans="3:7">
      <c r="C441" t="s">
        <v>249</v>
      </c>
      <c r="D441" t="s">
        <v>250</v>
      </c>
      <c r="E441" t="s">
        <v>251</v>
      </c>
      <c r="F441" t="s">
        <v>557</v>
      </c>
      <c r="G441" t="s">
        <v>693</v>
      </c>
    </row>
    <row r="442" spans="3:7">
      <c r="C442" t="s">
        <v>249</v>
      </c>
      <c r="D442" t="s">
        <v>250</v>
      </c>
      <c r="E442" t="s">
        <v>251</v>
      </c>
      <c r="F442" t="s">
        <v>557</v>
      </c>
      <c r="G442" t="s">
        <v>694</v>
      </c>
    </row>
    <row r="443" spans="3:7">
      <c r="C443" t="s">
        <v>249</v>
      </c>
      <c r="D443" t="s">
        <v>250</v>
      </c>
      <c r="E443" t="s">
        <v>251</v>
      </c>
      <c r="F443" t="s">
        <v>557</v>
      </c>
      <c r="G443" t="s">
        <v>695</v>
      </c>
    </row>
    <row r="444" spans="3:7">
      <c r="C444" t="s">
        <v>249</v>
      </c>
      <c r="D444" t="s">
        <v>250</v>
      </c>
      <c r="E444" t="s">
        <v>251</v>
      </c>
      <c r="F444" t="s">
        <v>557</v>
      </c>
      <c r="G444" t="s">
        <v>696</v>
      </c>
    </row>
    <row r="445" spans="3:7">
      <c r="C445" t="s">
        <v>249</v>
      </c>
      <c r="D445" t="s">
        <v>250</v>
      </c>
      <c r="E445" t="s">
        <v>251</v>
      </c>
      <c r="F445" t="s">
        <v>557</v>
      </c>
      <c r="G445" t="s">
        <v>697</v>
      </c>
    </row>
    <row r="446" spans="3:7">
      <c r="C446" t="s">
        <v>249</v>
      </c>
      <c r="D446" t="s">
        <v>250</v>
      </c>
      <c r="E446" t="s">
        <v>251</v>
      </c>
      <c r="F446" t="s">
        <v>557</v>
      </c>
      <c r="G446" t="s">
        <v>698</v>
      </c>
    </row>
    <row r="447" spans="3:7">
      <c r="C447" t="s">
        <v>249</v>
      </c>
      <c r="D447" t="s">
        <v>250</v>
      </c>
      <c r="E447" t="s">
        <v>251</v>
      </c>
      <c r="F447" t="s">
        <v>557</v>
      </c>
      <c r="G447" t="s">
        <v>699</v>
      </c>
    </row>
    <row r="448" spans="3:7">
      <c r="C448" t="s">
        <v>249</v>
      </c>
      <c r="D448" t="s">
        <v>250</v>
      </c>
      <c r="E448" t="s">
        <v>251</v>
      </c>
      <c r="F448" t="s">
        <v>557</v>
      </c>
      <c r="G448" t="s">
        <v>700</v>
      </c>
    </row>
    <row r="449" spans="3:7">
      <c r="C449" t="s">
        <v>249</v>
      </c>
      <c r="D449" t="s">
        <v>250</v>
      </c>
      <c r="E449" t="s">
        <v>251</v>
      </c>
      <c r="F449" t="s">
        <v>557</v>
      </c>
      <c r="G449" t="s">
        <v>701</v>
      </c>
    </row>
    <row r="450" spans="3:7">
      <c r="C450" t="s">
        <v>249</v>
      </c>
      <c r="D450" t="s">
        <v>250</v>
      </c>
      <c r="E450" t="s">
        <v>251</v>
      </c>
      <c r="F450" t="s">
        <v>557</v>
      </c>
      <c r="G450" t="s">
        <v>702</v>
      </c>
    </row>
    <row r="451" spans="3:7">
      <c r="C451" t="s">
        <v>249</v>
      </c>
      <c r="D451" t="s">
        <v>250</v>
      </c>
      <c r="E451" t="s">
        <v>251</v>
      </c>
      <c r="F451" t="s">
        <v>557</v>
      </c>
      <c r="G451" t="s">
        <v>703</v>
      </c>
    </row>
    <row r="452" spans="3:7">
      <c r="C452" t="s">
        <v>249</v>
      </c>
      <c r="D452" t="s">
        <v>250</v>
      </c>
      <c r="E452" t="s">
        <v>251</v>
      </c>
      <c r="F452" t="s">
        <v>557</v>
      </c>
      <c r="G452" t="s">
        <v>704</v>
      </c>
    </row>
    <row r="453" spans="3:7">
      <c r="C453" t="s">
        <v>249</v>
      </c>
      <c r="D453" t="s">
        <v>250</v>
      </c>
      <c r="E453" t="s">
        <v>251</v>
      </c>
      <c r="F453" t="s">
        <v>557</v>
      </c>
      <c r="G453" t="s">
        <v>705</v>
      </c>
    </row>
    <row r="454" spans="3:7">
      <c r="C454" t="s">
        <v>249</v>
      </c>
      <c r="D454" t="s">
        <v>250</v>
      </c>
      <c r="E454" t="s">
        <v>251</v>
      </c>
      <c r="F454" t="s">
        <v>557</v>
      </c>
      <c r="G454" t="s">
        <v>706</v>
      </c>
    </row>
    <row r="455" spans="3:7">
      <c r="C455" t="s">
        <v>249</v>
      </c>
      <c r="D455" t="s">
        <v>250</v>
      </c>
      <c r="E455" t="s">
        <v>251</v>
      </c>
      <c r="F455" t="s">
        <v>557</v>
      </c>
      <c r="G455" t="s">
        <v>707</v>
      </c>
    </row>
    <row r="456" spans="3:7">
      <c r="C456" t="s">
        <v>249</v>
      </c>
      <c r="D456" t="s">
        <v>250</v>
      </c>
      <c r="E456" t="s">
        <v>251</v>
      </c>
      <c r="F456" t="s">
        <v>557</v>
      </c>
      <c r="G456" t="s">
        <v>708</v>
      </c>
    </row>
    <row r="458" spans="3:7">
      <c r="C458" t="s">
        <v>249</v>
      </c>
      <c r="D458" t="s">
        <v>250</v>
      </c>
      <c r="E458" t="s">
        <v>251</v>
      </c>
      <c r="F458" t="s">
        <v>709</v>
      </c>
      <c r="G458" t="s">
        <v>710</v>
      </c>
    </row>
    <row r="459" spans="3:7">
      <c r="C459" t="s">
        <v>249</v>
      </c>
      <c r="D459" t="s">
        <v>250</v>
      </c>
      <c r="E459" t="s">
        <v>251</v>
      </c>
      <c r="F459" t="s">
        <v>709</v>
      </c>
      <c r="G459" t="s">
        <v>711</v>
      </c>
    </row>
    <row r="460" spans="3:7">
      <c r="C460" t="s">
        <v>249</v>
      </c>
      <c r="D460" t="s">
        <v>250</v>
      </c>
      <c r="E460" t="s">
        <v>251</v>
      </c>
      <c r="F460" t="s">
        <v>709</v>
      </c>
      <c r="G460" t="s">
        <v>712</v>
      </c>
    </row>
    <row r="461" spans="3:7">
      <c r="C461" t="s">
        <v>249</v>
      </c>
      <c r="D461" t="s">
        <v>250</v>
      </c>
      <c r="E461" t="s">
        <v>251</v>
      </c>
      <c r="F461" t="s">
        <v>709</v>
      </c>
      <c r="G461" t="s">
        <v>713</v>
      </c>
    </row>
    <row r="462" spans="3:7">
      <c r="C462" t="s">
        <v>249</v>
      </c>
      <c r="D462" t="s">
        <v>250</v>
      </c>
      <c r="E462" t="s">
        <v>251</v>
      </c>
      <c r="F462" t="s">
        <v>709</v>
      </c>
      <c r="G462" t="s">
        <v>714</v>
      </c>
    </row>
    <row r="463" spans="3:7">
      <c r="C463" t="s">
        <v>249</v>
      </c>
      <c r="D463" t="s">
        <v>250</v>
      </c>
      <c r="E463" t="s">
        <v>251</v>
      </c>
      <c r="F463" t="s">
        <v>709</v>
      </c>
      <c r="G463" t="s">
        <v>715</v>
      </c>
    </row>
    <row r="464" spans="3:7">
      <c r="C464" t="s">
        <v>249</v>
      </c>
      <c r="D464" t="s">
        <v>250</v>
      </c>
      <c r="E464" t="s">
        <v>251</v>
      </c>
      <c r="F464" t="s">
        <v>709</v>
      </c>
      <c r="G464" t="s">
        <v>716</v>
      </c>
    </row>
    <row r="465" spans="3:7">
      <c r="C465" t="s">
        <v>249</v>
      </c>
      <c r="D465" t="s">
        <v>250</v>
      </c>
      <c r="E465" t="s">
        <v>251</v>
      </c>
      <c r="F465" t="s">
        <v>709</v>
      </c>
      <c r="G465" t="s">
        <v>717</v>
      </c>
    </row>
    <row r="466" spans="3:7">
      <c r="C466" t="s">
        <v>249</v>
      </c>
      <c r="D466" t="s">
        <v>250</v>
      </c>
      <c r="E466" t="s">
        <v>251</v>
      </c>
      <c r="F466" t="s">
        <v>709</v>
      </c>
      <c r="G466" t="s">
        <v>718</v>
      </c>
    </row>
    <row r="467" spans="3:7">
      <c r="C467" t="s">
        <v>249</v>
      </c>
      <c r="D467" t="s">
        <v>250</v>
      </c>
      <c r="E467" t="s">
        <v>251</v>
      </c>
      <c r="F467" t="s">
        <v>709</v>
      </c>
      <c r="G467" t="s">
        <v>719</v>
      </c>
    </row>
    <row r="468" spans="3:7">
      <c r="C468" t="s">
        <v>249</v>
      </c>
      <c r="D468" t="s">
        <v>250</v>
      </c>
      <c r="E468" t="s">
        <v>251</v>
      </c>
      <c r="F468" t="s">
        <v>709</v>
      </c>
      <c r="G468" t="s">
        <v>720</v>
      </c>
    </row>
    <row r="469" spans="3:7">
      <c r="C469" t="s">
        <v>249</v>
      </c>
      <c r="D469" t="s">
        <v>250</v>
      </c>
      <c r="E469" t="s">
        <v>251</v>
      </c>
      <c r="F469" t="s">
        <v>709</v>
      </c>
      <c r="G469" t="s">
        <v>721</v>
      </c>
    </row>
    <row r="470" spans="3:7">
      <c r="C470" t="s">
        <v>249</v>
      </c>
      <c r="D470" t="s">
        <v>250</v>
      </c>
      <c r="E470" t="s">
        <v>251</v>
      </c>
      <c r="F470" t="s">
        <v>709</v>
      </c>
      <c r="G470" t="s">
        <v>722</v>
      </c>
    </row>
    <row r="471" spans="3:7">
      <c r="C471" t="s">
        <v>249</v>
      </c>
      <c r="D471" t="s">
        <v>250</v>
      </c>
      <c r="E471" t="s">
        <v>251</v>
      </c>
      <c r="F471" t="s">
        <v>709</v>
      </c>
      <c r="G471" t="s">
        <v>723</v>
      </c>
    </row>
    <row r="472" spans="3:7">
      <c r="C472" t="s">
        <v>249</v>
      </c>
      <c r="D472" t="s">
        <v>250</v>
      </c>
      <c r="E472" t="s">
        <v>251</v>
      </c>
      <c r="F472" t="s">
        <v>709</v>
      </c>
      <c r="G472" t="s">
        <v>724</v>
      </c>
    </row>
    <row r="473" spans="3:7">
      <c r="C473" t="s">
        <v>249</v>
      </c>
      <c r="D473" t="s">
        <v>250</v>
      </c>
      <c r="E473" t="s">
        <v>251</v>
      </c>
      <c r="F473" t="s">
        <v>709</v>
      </c>
      <c r="G473" t="s">
        <v>725</v>
      </c>
    </row>
    <row r="474" spans="3:7">
      <c r="C474" t="s">
        <v>249</v>
      </c>
      <c r="D474" t="s">
        <v>250</v>
      </c>
      <c r="E474" t="s">
        <v>251</v>
      </c>
      <c r="F474" t="s">
        <v>709</v>
      </c>
      <c r="G474" t="s">
        <v>726</v>
      </c>
    </row>
    <row r="475" spans="3:7">
      <c r="C475" t="s">
        <v>249</v>
      </c>
      <c r="D475" t="s">
        <v>250</v>
      </c>
      <c r="E475" t="s">
        <v>251</v>
      </c>
      <c r="F475" t="s">
        <v>709</v>
      </c>
      <c r="G475" t="s">
        <v>727</v>
      </c>
    </row>
    <row r="476" spans="3:7">
      <c r="C476" t="s">
        <v>249</v>
      </c>
      <c r="D476" t="s">
        <v>250</v>
      </c>
      <c r="E476" t="s">
        <v>251</v>
      </c>
      <c r="F476" t="s">
        <v>709</v>
      </c>
      <c r="G476" t="s">
        <v>728</v>
      </c>
    </row>
    <row r="477" spans="3:7">
      <c r="C477" t="s">
        <v>249</v>
      </c>
      <c r="D477" t="s">
        <v>250</v>
      </c>
      <c r="E477" t="s">
        <v>251</v>
      </c>
      <c r="F477" t="s">
        <v>709</v>
      </c>
      <c r="G477" t="s">
        <v>729</v>
      </c>
    </row>
    <row r="478" spans="3:7">
      <c r="C478" t="s">
        <v>249</v>
      </c>
      <c r="D478" t="s">
        <v>250</v>
      </c>
      <c r="E478" t="s">
        <v>251</v>
      </c>
      <c r="F478" t="s">
        <v>709</v>
      </c>
      <c r="G478" t="s">
        <v>730</v>
      </c>
    </row>
    <row r="479" spans="3:7">
      <c r="C479" t="s">
        <v>249</v>
      </c>
      <c r="D479" t="s">
        <v>250</v>
      </c>
      <c r="E479" t="s">
        <v>251</v>
      </c>
      <c r="F479" t="s">
        <v>709</v>
      </c>
      <c r="G479" t="s">
        <v>731</v>
      </c>
    </row>
    <row r="480" spans="3:7">
      <c r="C480" t="s">
        <v>249</v>
      </c>
      <c r="D480" t="s">
        <v>250</v>
      </c>
      <c r="E480" t="s">
        <v>251</v>
      </c>
      <c r="F480" t="s">
        <v>709</v>
      </c>
      <c r="G480" t="s">
        <v>732</v>
      </c>
    </row>
    <row r="481" spans="3:7">
      <c r="C481" t="s">
        <v>249</v>
      </c>
      <c r="D481" t="s">
        <v>250</v>
      </c>
      <c r="E481" t="s">
        <v>251</v>
      </c>
      <c r="F481" t="s">
        <v>709</v>
      </c>
      <c r="G481" t="s">
        <v>733</v>
      </c>
    </row>
    <row r="482" spans="3:7">
      <c r="C482" t="s">
        <v>249</v>
      </c>
      <c r="D482" t="s">
        <v>250</v>
      </c>
      <c r="E482" t="s">
        <v>251</v>
      </c>
      <c r="F482" t="s">
        <v>709</v>
      </c>
      <c r="G482" t="s">
        <v>734</v>
      </c>
    </row>
    <row r="483" spans="3:7">
      <c r="C483" t="s">
        <v>249</v>
      </c>
      <c r="D483" t="s">
        <v>250</v>
      </c>
      <c r="E483" t="s">
        <v>251</v>
      </c>
      <c r="F483" t="s">
        <v>709</v>
      </c>
      <c r="G483" t="s">
        <v>735</v>
      </c>
    </row>
    <row r="484" spans="3:7">
      <c r="C484" t="s">
        <v>249</v>
      </c>
      <c r="D484" t="s">
        <v>250</v>
      </c>
      <c r="E484" t="s">
        <v>251</v>
      </c>
      <c r="F484" t="s">
        <v>709</v>
      </c>
      <c r="G484" t="s">
        <v>736</v>
      </c>
    </row>
    <row r="485" spans="3:7">
      <c r="C485" t="s">
        <v>249</v>
      </c>
      <c r="D485" t="s">
        <v>250</v>
      </c>
      <c r="E485" t="s">
        <v>251</v>
      </c>
      <c r="F485" t="s">
        <v>709</v>
      </c>
      <c r="G485" t="s">
        <v>737</v>
      </c>
    </row>
    <row r="486" spans="3:7">
      <c r="C486" t="s">
        <v>249</v>
      </c>
      <c r="D486" t="s">
        <v>250</v>
      </c>
      <c r="E486" t="s">
        <v>251</v>
      </c>
      <c r="F486" t="s">
        <v>709</v>
      </c>
      <c r="G486" t="s">
        <v>738</v>
      </c>
    </row>
    <row r="487" spans="3:7">
      <c r="C487" t="s">
        <v>249</v>
      </c>
      <c r="D487" t="s">
        <v>250</v>
      </c>
      <c r="E487" t="s">
        <v>251</v>
      </c>
      <c r="F487" t="s">
        <v>709</v>
      </c>
      <c r="G487" t="s">
        <v>739</v>
      </c>
    </row>
    <row r="488" spans="3:7">
      <c r="C488" t="s">
        <v>249</v>
      </c>
      <c r="D488" t="s">
        <v>250</v>
      </c>
      <c r="E488" t="s">
        <v>251</v>
      </c>
      <c r="F488" t="s">
        <v>709</v>
      </c>
      <c r="G488" t="s">
        <v>740</v>
      </c>
    </row>
    <row r="489" spans="3:7">
      <c r="C489" t="s">
        <v>249</v>
      </c>
      <c r="D489" t="s">
        <v>250</v>
      </c>
      <c r="E489" t="s">
        <v>251</v>
      </c>
      <c r="F489" t="s">
        <v>709</v>
      </c>
      <c r="G489" t="s">
        <v>741</v>
      </c>
    </row>
    <row r="490" spans="3:7">
      <c r="C490" t="s">
        <v>249</v>
      </c>
      <c r="D490" t="s">
        <v>250</v>
      </c>
      <c r="E490" t="s">
        <v>251</v>
      </c>
      <c r="F490" t="s">
        <v>709</v>
      </c>
      <c r="G490" t="s">
        <v>742</v>
      </c>
    </row>
    <row r="491" spans="3:7">
      <c r="C491" t="s">
        <v>249</v>
      </c>
      <c r="D491" t="s">
        <v>250</v>
      </c>
      <c r="E491" t="s">
        <v>251</v>
      </c>
      <c r="F491" t="s">
        <v>709</v>
      </c>
      <c r="G491" t="s">
        <v>743</v>
      </c>
    </row>
    <row r="492" spans="3:7">
      <c r="C492" t="s">
        <v>249</v>
      </c>
      <c r="D492" t="s">
        <v>250</v>
      </c>
      <c r="E492" t="s">
        <v>251</v>
      </c>
      <c r="F492" t="s">
        <v>709</v>
      </c>
      <c r="G492" t="s">
        <v>744</v>
      </c>
    </row>
    <row r="493" spans="3:7">
      <c r="C493" t="s">
        <v>249</v>
      </c>
      <c r="D493" t="s">
        <v>250</v>
      </c>
      <c r="E493" t="s">
        <v>251</v>
      </c>
      <c r="F493" t="s">
        <v>709</v>
      </c>
      <c r="G493" t="s">
        <v>745</v>
      </c>
    </row>
    <row r="494" spans="3:7">
      <c r="C494" t="s">
        <v>249</v>
      </c>
      <c r="D494" t="s">
        <v>250</v>
      </c>
      <c r="E494" t="s">
        <v>251</v>
      </c>
      <c r="F494" t="s">
        <v>709</v>
      </c>
      <c r="G494" t="s">
        <v>746</v>
      </c>
    </row>
    <row r="495" spans="3:7">
      <c r="C495" t="s">
        <v>249</v>
      </c>
      <c r="D495" t="s">
        <v>250</v>
      </c>
      <c r="E495" t="s">
        <v>251</v>
      </c>
      <c r="F495" t="s">
        <v>709</v>
      </c>
      <c r="G495" t="s">
        <v>747</v>
      </c>
    </row>
    <row r="496" spans="3:7">
      <c r="C496" t="s">
        <v>249</v>
      </c>
      <c r="D496" t="s">
        <v>250</v>
      </c>
      <c r="E496" t="s">
        <v>251</v>
      </c>
      <c r="F496" t="s">
        <v>709</v>
      </c>
      <c r="G496" t="s">
        <v>748</v>
      </c>
    </row>
    <row r="497" spans="3:7">
      <c r="C497" t="s">
        <v>249</v>
      </c>
      <c r="D497" t="s">
        <v>250</v>
      </c>
      <c r="E497" t="s">
        <v>251</v>
      </c>
      <c r="F497" t="s">
        <v>709</v>
      </c>
      <c r="G497" t="s">
        <v>749</v>
      </c>
    </row>
    <row r="498" spans="3:7">
      <c r="C498" t="s">
        <v>249</v>
      </c>
      <c r="D498" t="s">
        <v>250</v>
      </c>
      <c r="E498" t="s">
        <v>251</v>
      </c>
      <c r="F498" t="s">
        <v>709</v>
      </c>
      <c r="G498" t="s">
        <v>750</v>
      </c>
    </row>
    <row r="499" spans="3:7">
      <c r="C499" t="s">
        <v>249</v>
      </c>
      <c r="D499" t="s">
        <v>250</v>
      </c>
      <c r="E499" t="s">
        <v>251</v>
      </c>
      <c r="F499" t="s">
        <v>709</v>
      </c>
      <c r="G499" t="s">
        <v>751</v>
      </c>
    </row>
    <row r="500" spans="3:7">
      <c r="C500" t="s">
        <v>249</v>
      </c>
      <c r="D500" t="s">
        <v>250</v>
      </c>
      <c r="E500" t="s">
        <v>251</v>
      </c>
      <c r="F500" t="s">
        <v>709</v>
      </c>
      <c r="G500" t="s">
        <v>752</v>
      </c>
    </row>
    <row r="501" spans="3:7">
      <c r="C501" t="s">
        <v>249</v>
      </c>
      <c r="D501" t="s">
        <v>250</v>
      </c>
      <c r="E501" t="s">
        <v>251</v>
      </c>
      <c r="F501" t="s">
        <v>709</v>
      </c>
      <c r="G501" t="s">
        <v>753</v>
      </c>
    </row>
    <row r="502" spans="3:7">
      <c r="C502" t="s">
        <v>249</v>
      </c>
      <c r="D502" t="s">
        <v>250</v>
      </c>
      <c r="E502" t="s">
        <v>251</v>
      </c>
      <c r="F502" t="s">
        <v>709</v>
      </c>
      <c r="G502" t="s">
        <v>754</v>
      </c>
    </row>
    <row r="503" spans="3:7">
      <c r="C503" t="s">
        <v>249</v>
      </c>
      <c r="D503" t="s">
        <v>250</v>
      </c>
      <c r="E503" t="s">
        <v>251</v>
      </c>
      <c r="F503" t="s">
        <v>709</v>
      </c>
      <c r="G503" t="s">
        <v>755</v>
      </c>
    </row>
    <row r="504" spans="3:7">
      <c r="C504" t="s">
        <v>249</v>
      </c>
      <c r="D504" t="s">
        <v>250</v>
      </c>
      <c r="E504" t="s">
        <v>251</v>
      </c>
      <c r="F504" t="s">
        <v>709</v>
      </c>
      <c r="G504" t="s">
        <v>756</v>
      </c>
    </row>
    <row r="505" spans="3:7">
      <c r="C505" t="s">
        <v>249</v>
      </c>
      <c r="D505" t="s">
        <v>250</v>
      </c>
      <c r="E505" t="s">
        <v>251</v>
      </c>
      <c r="F505" t="s">
        <v>709</v>
      </c>
      <c r="G505" t="s">
        <v>757</v>
      </c>
    </row>
    <row r="506" spans="3:7">
      <c r="C506" t="s">
        <v>249</v>
      </c>
      <c r="D506" t="s">
        <v>250</v>
      </c>
      <c r="E506" t="s">
        <v>251</v>
      </c>
      <c r="F506" t="s">
        <v>709</v>
      </c>
      <c r="G506" t="s">
        <v>758</v>
      </c>
    </row>
    <row r="507" spans="3:7">
      <c r="C507" t="s">
        <v>249</v>
      </c>
      <c r="D507" t="s">
        <v>250</v>
      </c>
      <c r="E507" t="s">
        <v>251</v>
      </c>
      <c r="F507" t="s">
        <v>709</v>
      </c>
      <c r="G507" t="s">
        <v>759</v>
      </c>
    </row>
    <row r="508" spans="3:7">
      <c r="C508" t="s">
        <v>249</v>
      </c>
      <c r="D508" t="s">
        <v>250</v>
      </c>
      <c r="E508" t="s">
        <v>251</v>
      </c>
      <c r="F508" t="s">
        <v>709</v>
      </c>
      <c r="G508" t="s">
        <v>760</v>
      </c>
    </row>
    <row r="509" spans="3:7">
      <c r="C509" t="s">
        <v>249</v>
      </c>
      <c r="D509" t="s">
        <v>250</v>
      </c>
      <c r="E509" t="s">
        <v>251</v>
      </c>
      <c r="F509" t="s">
        <v>709</v>
      </c>
      <c r="G509" t="s">
        <v>761</v>
      </c>
    </row>
    <row r="510" spans="3:7">
      <c r="C510" t="s">
        <v>249</v>
      </c>
      <c r="D510" t="s">
        <v>250</v>
      </c>
      <c r="E510" t="s">
        <v>251</v>
      </c>
      <c r="F510" t="s">
        <v>709</v>
      </c>
      <c r="G510" t="s">
        <v>762</v>
      </c>
    </row>
    <row r="511" spans="3:7">
      <c r="C511" t="s">
        <v>249</v>
      </c>
      <c r="D511" t="s">
        <v>250</v>
      </c>
      <c r="E511" t="s">
        <v>251</v>
      </c>
      <c r="F511" t="s">
        <v>709</v>
      </c>
      <c r="G511" t="s">
        <v>763</v>
      </c>
    </row>
    <row r="512" spans="3:7">
      <c r="C512" t="s">
        <v>249</v>
      </c>
      <c r="D512" t="s">
        <v>250</v>
      </c>
      <c r="E512" t="s">
        <v>251</v>
      </c>
      <c r="F512" t="s">
        <v>709</v>
      </c>
      <c r="G512" t="s">
        <v>764</v>
      </c>
    </row>
    <row r="513" spans="3:7">
      <c r="C513" t="s">
        <v>249</v>
      </c>
      <c r="D513" t="s">
        <v>250</v>
      </c>
      <c r="E513" t="s">
        <v>251</v>
      </c>
      <c r="F513" t="s">
        <v>709</v>
      </c>
      <c r="G513" t="s">
        <v>765</v>
      </c>
    </row>
    <row r="514" spans="3:7">
      <c r="C514" t="s">
        <v>249</v>
      </c>
      <c r="D514" t="s">
        <v>250</v>
      </c>
      <c r="E514" t="s">
        <v>251</v>
      </c>
      <c r="F514" t="s">
        <v>709</v>
      </c>
      <c r="G514" t="s">
        <v>766</v>
      </c>
    </row>
    <row r="515" spans="3:7">
      <c r="C515" t="s">
        <v>249</v>
      </c>
      <c r="D515" t="s">
        <v>250</v>
      </c>
      <c r="E515" t="s">
        <v>251</v>
      </c>
      <c r="F515" t="s">
        <v>709</v>
      </c>
      <c r="G515" t="s">
        <v>767</v>
      </c>
    </row>
    <row r="516" spans="3:7">
      <c r="C516" t="s">
        <v>249</v>
      </c>
      <c r="D516" t="s">
        <v>250</v>
      </c>
      <c r="E516" t="s">
        <v>251</v>
      </c>
      <c r="F516" t="s">
        <v>709</v>
      </c>
      <c r="G516" t="s">
        <v>768</v>
      </c>
    </row>
    <row r="517" spans="3:7">
      <c r="C517" t="s">
        <v>249</v>
      </c>
      <c r="D517" t="s">
        <v>250</v>
      </c>
      <c r="E517" t="s">
        <v>251</v>
      </c>
      <c r="F517" t="s">
        <v>709</v>
      </c>
      <c r="G517" t="s">
        <v>769</v>
      </c>
    </row>
    <row r="518" spans="3:7">
      <c r="C518" t="s">
        <v>249</v>
      </c>
      <c r="D518" t="s">
        <v>250</v>
      </c>
      <c r="E518" t="s">
        <v>251</v>
      </c>
      <c r="F518" t="s">
        <v>709</v>
      </c>
      <c r="G518" t="s">
        <v>770</v>
      </c>
    </row>
    <row r="519" spans="3:7">
      <c r="C519" t="s">
        <v>249</v>
      </c>
      <c r="D519" t="s">
        <v>250</v>
      </c>
      <c r="E519" t="s">
        <v>251</v>
      </c>
      <c r="F519" t="s">
        <v>709</v>
      </c>
      <c r="G519" t="s">
        <v>771</v>
      </c>
    </row>
    <row r="520" spans="3:7">
      <c r="C520" t="s">
        <v>249</v>
      </c>
      <c r="D520" t="s">
        <v>250</v>
      </c>
      <c r="E520" t="s">
        <v>251</v>
      </c>
      <c r="F520" t="s">
        <v>709</v>
      </c>
      <c r="G520" t="s">
        <v>772</v>
      </c>
    </row>
    <row r="521" spans="3:7">
      <c r="C521" t="s">
        <v>249</v>
      </c>
      <c r="D521" t="s">
        <v>250</v>
      </c>
      <c r="E521" t="s">
        <v>251</v>
      </c>
      <c r="F521" t="s">
        <v>709</v>
      </c>
      <c r="G521" t="s">
        <v>773</v>
      </c>
    </row>
    <row r="522" spans="3:7">
      <c r="C522" t="s">
        <v>249</v>
      </c>
      <c r="D522" t="s">
        <v>250</v>
      </c>
      <c r="E522" t="s">
        <v>251</v>
      </c>
      <c r="F522" t="s">
        <v>709</v>
      </c>
      <c r="G522" t="s">
        <v>774</v>
      </c>
    </row>
    <row r="523" spans="3:7">
      <c r="C523" t="s">
        <v>249</v>
      </c>
      <c r="D523" t="s">
        <v>250</v>
      </c>
      <c r="E523" t="s">
        <v>251</v>
      </c>
      <c r="F523" t="s">
        <v>709</v>
      </c>
      <c r="G523" t="s">
        <v>775</v>
      </c>
    </row>
    <row r="524" spans="3:7">
      <c r="C524" t="s">
        <v>249</v>
      </c>
      <c r="D524" t="s">
        <v>250</v>
      </c>
      <c r="E524" t="s">
        <v>251</v>
      </c>
      <c r="F524" t="s">
        <v>709</v>
      </c>
      <c r="G524" t="s">
        <v>776</v>
      </c>
    </row>
    <row r="525" spans="3:7">
      <c r="C525" t="s">
        <v>249</v>
      </c>
      <c r="D525" t="s">
        <v>250</v>
      </c>
      <c r="E525" t="s">
        <v>251</v>
      </c>
      <c r="F525" t="s">
        <v>709</v>
      </c>
      <c r="G525" t="s">
        <v>777</v>
      </c>
    </row>
    <row r="526" spans="3:7">
      <c r="C526" t="s">
        <v>249</v>
      </c>
      <c r="D526" t="s">
        <v>250</v>
      </c>
      <c r="E526" t="s">
        <v>251</v>
      </c>
      <c r="F526" t="s">
        <v>709</v>
      </c>
      <c r="G526" t="s">
        <v>778</v>
      </c>
    </row>
    <row r="527" spans="3:7">
      <c r="C527" t="s">
        <v>249</v>
      </c>
      <c r="D527" t="s">
        <v>250</v>
      </c>
      <c r="E527" t="s">
        <v>251</v>
      </c>
      <c r="F527" t="s">
        <v>709</v>
      </c>
      <c r="G527" t="s">
        <v>779</v>
      </c>
    </row>
    <row r="528" spans="3:7">
      <c r="C528" t="s">
        <v>249</v>
      </c>
      <c r="D528" t="s">
        <v>250</v>
      </c>
      <c r="E528" t="s">
        <v>251</v>
      </c>
      <c r="F528" t="s">
        <v>709</v>
      </c>
      <c r="G528" t="s">
        <v>780</v>
      </c>
    </row>
    <row r="529" spans="3:7">
      <c r="C529" t="s">
        <v>249</v>
      </c>
      <c r="D529" t="s">
        <v>250</v>
      </c>
      <c r="E529" t="s">
        <v>251</v>
      </c>
      <c r="F529" t="s">
        <v>709</v>
      </c>
      <c r="G529" t="s">
        <v>781</v>
      </c>
    </row>
    <row r="530" spans="3:7">
      <c r="C530" t="s">
        <v>249</v>
      </c>
      <c r="D530" t="s">
        <v>250</v>
      </c>
      <c r="E530" t="s">
        <v>251</v>
      </c>
      <c r="F530" t="s">
        <v>709</v>
      </c>
      <c r="G530" t="s">
        <v>782</v>
      </c>
    </row>
    <row r="531" spans="3:7">
      <c r="C531" t="s">
        <v>249</v>
      </c>
      <c r="D531" t="s">
        <v>250</v>
      </c>
      <c r="E531" t="s">
        <v>251</v>
      </c>
      <c r="F531" t="s">
        <v>709</v>
      </c>
      <c r="G531" t="s">
        <v>783</v>
      </c>
    </row>
    <row r="532" spans="3:7">
      <c r="C532" t="s">
        <v>249</v>
      </c>
      <c r="D532" t="s">
        <v>250</v>
      </c>
      <c r="E532" t="s">
        <v>251</v>
      </c>
      <c r="F532" t="s">
        <v>709</v>
      </c>
      <c r="G532" t="s">
        <v>784</v>
      </c>
    </row>
    <row r="533" spans="3:7">
      <c r="C533" t="s">
        <v>249</v>
      </c>
      <c r="D533" t="s">
        <v>250</v>
      </c>
      <c r="E533" t="s">
        <v>251</v>
      </c>
      <c r="F533" t="s">
        <v>709</v>
      </c>
      <c r="G533" t="s">
        <v>785</v>
      </c>
    </row>
    <row r="534" spans="3:7">
      <c r="C534" t="s">
        <v>249</v>
      </c>
      <c r="D534" t="s">
        <v>250</v>
      </c>
      <c r="E534" t="s">
        <v>251</v>
      </c>
      <c r="F534" t="s">
        <v>709</v>
      </c>
      <c r="G534" t="s">
        <v>786</v>
      </c>
    </row>
    <row r="535" spans="3:7">
      <c r="C535" t="s">
        <v>249</v>
      </c>
      <c r="D535" t="s">
        <v>250</v>
      </c>
      <c r="E535" t="s">
        <v>251</v>
      </c>
      <c r="F535" t="s">
        <v>709</v>
      </c>
      <c r="G535" t="s">
        <v>787</v>
      </c>
    </row>
    <row r="536" spans="3:7">
      <c r="C536" t="s">
        <v>249</v>
      </c>
      <c r="D536" t="s">
        <v>250</v>
      </c>
      <c r="E536" t="s">
        <v>251</v>
      </c>
      <c r="F536" t="s">
        <v>709</v>
      </c>
      <c r="G536" t="s">
        <v>788</v>
      </c>
    </row>
    <row r="537" spans="3:7">
      <c r="C537" t="s">
        <v>249</v>
      </c>
      <c r="D537" t="s">
        <v>250</v>
      </c>
      <c r="E537" t="s">
        <v>251</v>
      </c>
      <c r="F537" t="s">
        <v>709</v>
      </c>
      <c r="G537" t="s">
        <v>789</v>
      </c>
    </row>
    <row r="538" spans="3:7">
      <c r="C538" t="s">
        <v>249</v>
      </c>
      <c r="D538" t="s">
        <v>250</v>
      </c>
      <c r="E538" t="s">
        <v>251</v>
      </c>
      <c r="F538" t="s">
        <v>709</v>
      </c>
      <c r="G538" t="s">
        <v>790</v>
      </c>
    </row>
    <row r="539" spans="3:7">
      <c r="C539" t="s">
        <v>249</v>
      </c>
      <c r="D539" t="s">
        <v>250</v>
      </c>
      <c r="E539" t="s">
        <v>251</v>
      </c>
      <c r="F539" t="s">
        <v>709</v>
      </c>
      <c r="G539" t="s">
        <v>791</v>
      </c>
    </row>
    <row r="540" spans="3:7">
      <c r="C540" t="s">
        <v>249</v>
      </c>
      <c r="D540" t="s">
        <v>250</v>
      </c>
      <c r="E540" t="s">
        <v>251</v>
      </c>
      <c r="F540" t="s">
        <v>709</v>
      </c>
      <c r="G540" t="s">
        <v>792</v>
      </c>
    </row>
    <row r="541" spans="3:7">
      <c r="C541" t="s">
        <v>249</v>
      </c>
      <c r="D541" t="s">
        <v>250</v>
      </c>
      <c r="E541" t="s">
        <v>251</v>
      </c>
      <c r="F541" t="s">
        <v>709</v>
      </c>
      <c r="G541" t="s">
        <v>793</v>
      </c>
    </row>
    <row r="542" spans="3:7">
      <c r="C542" t="s">
        <v>249</v>
      </c>
      <c r="D542" t="s">
        <v>250</v>
      </c>
      <c r="E542" t="s">
        <v>251</v>
      </c>
      <c r="F542" t="s">
        <v>709</v>
      </c>
      <c r="G542" t="s">
        <v>794</v>
      </c>
    </row>
    <row r="543" spans="3:7">
      <c r="C543" t="s">
        <v>249</v>
      </c>
      <c r="D543" t="s">
        <v>250</v>
      </c>
      <c r="E543" t="s">
        <v>251</v>
      </c>
      <c r="F543" t="s">
        <v>709</v>
      </c>
      <c r="G543" t="s">
        <v>795</v>
      </c>
    </row>
    <row r="544" spans="3:7">
      <c r="C544" t="s">
        <v>249</v>
      </c>
      <c r="D544" t="s">
        <v>250</v>
      </c>
      <c r="E544" t="s">
        <v>251</v>
      </c>
      <c r="F544" t="s">
        <v>709</v>
      </c>
      <c r="G544" t="s">
        <v>796</v>
      </c>
    </row>
    <row r="545" spans="3:7">
      <c r="C545" t="s">
        <v>249</v>
      </c>
      <c r="D545" t="s">
        <v>250</v>
      </c>
      <c r="E545" t="s">
        <v>251</v>
      </c>
      <c r="F545" t="s">
        <v>709</v>
      </c>
      <c r="G545" t="s">
        <v>797</v>
      </c>
    </row>
    <row r="546" spans="3:7">
      <c r="C546" t="s">
        <v>249</v>
      </c>
      <c r="D546" t="s">
        <v>250</v>
      </c>
      <c r="E546" t="s">
        <v>251</v>
      </c>
      <c r="F546" t="s">
        <v>709</v>
      </c>
      <c r="G546" t="s">
        <v>798</v>
      </c>
    </row>
    <row r="547" spans="3:7">
      <c r="C547" t="s">
        <v>249</v>
      </c>
      <c r="D547" t="s">
        <v>250</v>
      </c>
      <c r="E547" t="s">
        <v>251</v>
      </c>
      <c r="F547" t="s">
        <v>709</v>
      </c>
      <c r="G547" t="s">
        <v>799</v>
      </c>
    </row>
    <row r="548" spans="3:7">
      <c r="C548" t="s">
        <v>249</v>
      </c>
      <c r="D548" t="s">
        <v>250</v>
      </c>
      <c r="E548" t="s">
        <v>251</v>
      </c>
      <c r="F548" t="s">
        <v>709</v>
      </c>
      <c r="G548" t="s">
        <v>800</v>
      </c>
    </row>
    <row r="549" spans="3:7">
      <c r="C549" t="s">
        <v>249</v>
      </c>
      <c r="D549" t="s">
        <v>250</v>
      </c>
      <c r="E549" t="s">
        <v>251</v>
      </c>
      <c r="F549" t="s">
        <v>709</v>
      </c>
      <c r="G549" t="s">
        <v>801</v>
      </c>
    </row>
    <row r="550" spans="3:7">
      <c r="C550" t="s">
        <v>249</v>
      </c>
      <c r="D550" t="s">
        <v>250</v>
      </c>
      <c r="E550" t="s">
        <v>251</v>
      </c>
      <c r="F550" t="s">
        <v>709</v>
      </c>
      <c r="G550" t="s">
        <v>802</v>
      </c>
    </row>
    <row r="551" spans="3:7">
      <c r="C551" t="s">
        <v>249</v>
      </c>
      <c r="D551" t="s">
        <v>250</v>
      </c>
      <c r="E551" t="s">
        <v>251</v>
      </c>
      <c r="F551" t="s">
        <v>709</v>
      </c>
      <c r="G551" t="s">
        <v>803</v>
      </c>
    </row>
    <row r="552" spans="3:7">
      <c r="C552" t="s">
        <v>249</v>
      </c>
      <c r="D552" t="s">
        <v>250</v>
      </c>
      <c r="E552" t="s">
        <v>251</v>
      </c>
      <c r="F552" t="s">
        <v>709</v>
      </c>
      <c r="G552" t="s">
        <v>804</v>
      </c>
    </row>
    <row r="553" spans="3:7">
      <c r="C553" t="s">
        <v>249</v>
      </c>
      <c r="D553" t="s">
        <v>250</v>
      </c>
      <c r="E553" t="s">
        <v>251</v>
      </c>
      <c r="F553" t="s">
        <v>709</v>
      </c>
      <c r="G553" t="s">
        <v>805</v>
      </c>
    </row>
    <row r="554" spans="3:7">
      <c r="C554" t="s">
        <v>249</v>
      </c>
      <c r="D554" t="s">
        <v>250</v>
      </c>
      <c r="E554" t="s">
        <v>251</v>
      </c>
      <c r="F554" t="s">
        <v>709</v>
      </c>
      <c r="G554" t="s">
        <v>806</v>
      </c>
    </row>
    <row r="555" spans="3:7">
      <c r="C555" t="s">
        <v>249</v>
      </c>
      <c r="D555" t="s">
        <v>250</v>
      </c>
      <c r="E555" t="s">
        <v>251</v>
      </c>
      <c r="F555" t="s">
        <v>709</v>
      </c>
      <c r="G555" t="s">
        <v>807</v>
      </c>
    </row>
    <row r="556" spans="3:7">
      <c r="C556" t="s">
        <v>249</v>
      </c>
      <c r="D556" t="s">
        <v>250</v>
      </c>
      <c r="E556" t="s">
        <v>251</v>
      </c>
      <c r="F556" t="s">
        <v>709</v>
      </c>
      <c r="G556" t="s">
        <v>808</v>
      </c>
    </row>
    <row r="557" spans="3:7">
      <c r="C557" t="s">
        <v>249</v>
      </c>
      <c r="D557" t="s">
        <v>250</v>
      </c>
      <c r="E557" t="s">
        <v>251</v>
      </c>
      <c r="F557" t="s">
        <v>709</v>
      </c>
      <c r="G557" t="s">
        <v>809</v>
      </c>
    </row>
    <row r="558" spans="3:7">
      <c r="C558" t="s">
        <v>249</v>
      </c>
      <c r="D558" t="s">
        <v>250</v>
      </c>
      <c r="E558" t="s">
        <v>251</v>
      </c>
      <c r="F558" t="s">
        <v>709</v>
      </c>
      <c r="G558" t="s">
        <v>810</v>
      </c>
    </row>
    <row r="559" spans="3:7">
      <c r="C559" t="s">
        <v>249</v>
      </c>
      <c r="D559" t="s">
        <v>250</v>
      </c>
      <c r="E559" t="s">
        <v>251</v>
      </c>
      <c r="F559" t="s">
        <v>709</v>
      </c>
      <c r="G559" t="s">
        <v>811</v>
      </c>
    </row>
    <row r="560" spans="3:7">
      <c r="C560" t="s">
        <v>249</v>
      </c>
      <c r="D560" t="s">
        <v>250</v>
      </c>
      <c r="E560" t="s">
        <v>251</v>
      </c>
      <c r="F560" t="s">
        <v>709</v>
      </c>
      <c r="G560" t="s">
        <v>812</v>
      </c>
    </row>
    <row r="561" spans="3:7">
      <c r="C561" t="s">
        <v>249</v>
      </c>
      <c r="D561" t="s">
        <v>250</v>
      </c>
      <c r="E561" t="s">
        <v>251</v>
      </c>
      <c r="F561" t="s">
        <v>709</v>
      </c>
      <c r="G561" t="s">
        <v>813</v>
      </c>
    </row>
    <row r="562" spans="3:7">
      <c r="C562" t="s">
        <v>249</v>
      </c>
      <c r="D562" t="s">
        <v>250</v>
      </c>
      <c r="E562" t="s">
        <v>251</v>
      </c>
      <c r="F562" t="s">
        <v>709</v>
      </c>
      <c r="G562" t="s">
        <v>814</v>
      </c>
    </row>
    <row r="563" spans="3:7">
      <c r="C563" t="s">
        <v>249</v>
      </c>
      <c r="D563" t="s">
        <v>250</v>
      </c>
      <c r="E563" t="s">
        <v>251</v>
      </c>
      <c r="F563" t="s">
        <v>709</v>
      </c>
      <c r="G563" t="s">
        <v>815</v>
      </c>
    </row>
    <row r="564" spans="3:7">
      <c r="C564" t="s">
        <v>249</v>
      </c>
      <c r="D564" t="s">
        <v>250</v>
      </c>
      <c r="E564" t="s">
        <v>251</v>
      </c>
      <c r="F564" t="s">
        <v>709</v>
      </c>
      <c r="G564" t="s">
        <v>816</v>
      </c>
    </row>
    <row r="565" spans="3:7">
      <c r="C565" t="s">
        <v>249</v>
      </c>
      <c r="D565" t="s">
        <v>250</v>
      </c>
      <c r="E565" t="s">
        <v>251</v>
      </c>
      <c r="F565" t="s">
        <v>709</v>
      </c>
      <c r="G565" t="s">
        <v>817</v>
      </c>
    </row>
    <row r="566" spans="3:7">
      <c r="C566" t="s">
        <v>249</v>
      </c>
      <c r="D566" t="s">
        <v>250</v>
      </c>
      <c r="E566" t="s">
        <v>251</v>
      </c>
      <c r="F566" t="s">
        <v>709</v>
      </c>
      <c r="G566" t="s">
        <v>818</v>
      </c>
    </row>
    <row r="567" spans="3:7">
      <c r="C567" t="s">
        <v>249</v>
      </c>
      <c r="D567" t="s">
        <v>250</v>
      </c>
      <c r="E567" t="s">
        <v>251</v>
      </c>
      <c r="F567" t="s">
        <v>709</v>
      </c>
      <c r="G567" t="s">
        <v>819</v>
      </c>
    </row>
    <row r="568" spans="3:7">
      <c r="C568" t="s">
        <v>249</v>
      </c>
      <c r="D568" t="s">
        <v>250</v>
      </c>
      <c r="E568" t="s">
        <v>251</v>
      </c>
      <c r="F568" t="s">
        <v>709</v>
      </c>
      <c r="G568" t="s">
        <v>820</v>
      </c>
    </row>
    <row r="569" spans="3:7">
      <c r="C569" t="s">
        <v>249</v>
      </c>
      <c r="D569" t="s">
        <v>250</v>
      </c>
      <c r="E569" t="s">
        <v>251</v>
      </c>
      <c r="F569" t="s">
        <v>709</v>
      </c>
      <c r="G569" t="s">
        <v>821</v>
      </c>
    </row>
    <row r="570" spans="3:7">
      <c r="C570" t="s">
        <v>249</v>
      </c>
      <c r="D570" t="s">
        <v>250</v>
      </c>
      <c r="E570" t="s">
        <v>251</v>
      </c>
      <c r="F570" t="s">
        <v>709</v>
      </c>
      <c r="G570" t="s">
        <v>822</v>
      </c>
    </row>
    <row r="571" spans="3:7">
      <c r="C571" t="s">
        <v>249</v>
      </c>
      <c r="D571" t="s">
        <v>250</v>
      </c>
      <c r="E571" t="s">
        <v>251</v>
      </c>
      <c r="F571" t="s">
        <v>709</v>
      </c>
      <c r="G571" t="s">
        <v>823</v>
      </c>
    </row>
    <row r="572" spans="3:7">
      <c r="C572" t="s">
        <v>249</v>
      </c>
      <c r="D572" t="s">
        <v>250</v>
      </c>
      <c r="E572" t="s">
        <v>251</v>
      </c>
      <c r="F572" t="s">
        <v>709</v>
      </c>
      <c r="G572" t="s">
        <v>824</v>
      </c>
    </row>
    <row r="573" spans="3:7">
      <c r="C573" t="s">
        <v>249</v>
      </c>
      <c r="D573" t="s">
        <v>250</v>
      </c>
      <c r="E573" t="s">
        <v>251</v>
      </c>
      <c r="F573" t="s">
        <v>709</v>
      </c>
      <c r="G573" t="s">
        <v>825</v>
      </c>
    </row>
    <row r="574" spans="3:7">
      <c r="C574" t="s">
        <v>249</v>
      </c>
      <c r="D574" t="s">
        <v>250</v>
      </c>
      <c r="E574" t="s">
        <v>251</v>
      </c>
      <c r="F574" t="s">
        <v>709</v>
      </c>
      <c r="G574" t="s">
        <v>826</v>
      </c>
    </row>
    <row r="575" spans="3:7">
      <c r="C575" t="s">
        <v>249</v>
      </c>
      <c r="D575" t="s">
        <v>250</v>
      </c>
      <c r="E575" t="s">
        <v>251</v>
      </c>
      <c r="F575" t="s">
        <v>709</v>
      </c>
      <c r="G575" t="s">
        <v>827</v>
      </c>
    </row>
    <row r="576" spans="3:7">
      <c r="C576" t="s">
        <v>249</v>
      </c>
      <c r="D576" t="s">
        <v>250</v>
      </c>
      <c r="E576" t="s">
        <v>251</v>
      </c>
      <c r="F576" t="s">
        <v>709</v>
      </c>
      <c r="G576" t="s">
        <v>828</v>
      </c>
    </row>
    <row r="577" spans="3:7">
      <c r="C577" t="s">
        <v>249</v>
      </c>
      <c r="D577" t="s">
        <v>250</v>
      </c>
      <c r="E577" t="s">
        <v>251</v>
      </c>
      <c r="F577" t="s">
        <v>709</v>
      </c>
      <c r="G577" t="s">
        <v>829</v>
      </c>
    </row>
    <row r="578" spans="3:7">
      <c r="C578" t="s">
        <v>249</v>
      </c>
      <c r="D578" t="s">
        <v>250</v>
      </c>
      <c r="E578" t="s">
        <v>251</v>
      </c>
      <c r="F578" t="s">
        <v>709</v>
      </c>
      <c r="G578" t="s">
        <v>830</v>
      </c>
    </row>
    <row r="579" spans="3:7">
      <c r="C579" t="s">
        <v>249</v>
      </c>
      <c r="D579" t="s">
        <v>250</v>
      </c>
      <c r="E579" t="s">
        <v>251</v>
      </c>
      <c r="F579" t="s">
        <v>709</v>
      </c>
      <c r="G579" t="s">
        <v>831</v>
      </c>
    </row>
    <row r="580" spans="3:7">
      <c r="C580" t="s">
        <v>249</v>
      </c>
      <c r="D580" t="s">
        <v>250</v>
      </c>
      <c r="E580" t="s">
        <v>251</v>
      </c>
      <c r="F580" t="s">
        <v>709</v>
      </c>
      <c r="G580" t="s">
        <v>832</v>
      </c>
    </row>
    <row r="581" spans="3:7">
      <c r="C581" t="s">
        <v>249</v>
      </c>
      <c r="D581" t="s">
        <v>250</v>
      </c>
      <c r="E581" t="s">
        <v>251</v>
      </c>
      <c r="F581" t="s">
        <v>709</v>
      </c>
      <c r="G581" t="s">
        <v>833</v>
      </c>
    </row>
    <row r="582" spans="3:7">
      <c r="C582" t="s">
        <v>249</v>
      </c>
      <c r="D582" t="s">
        <v>250</v>
      </c>
      <c r="E582" t="s">
        <v>251</v>
      </c>
      <c r="F582" t="s">
        <v>709</v>
      </c>
      <c r="G582" t="s">
        <v>834</v>
      </c>
    </row>
    <row r="583" spans="3:7">
      <c r="C583" t="s">
        <v>249</v>
      </c>
      <c r="D583" t="s">
        <v>250</v>
      </c>
      <c r="E583" t="s">
        <v>251</v>
      </c>
      <c r="F583" t="s">
        <v>709</v>
      </c>
      <c r="G583" t="s">
        <v>835</v>
      </c>
    </row>
    <row r="584" spans="3:7">
      <c r="C584" t="s">
        <v>249</v>
      </c>
      <c r="D584" t="s">
        <v>250</v>
      </c>
      <c r="E584" t="s">
        <v>251</v>
      </c>
      <c r="F584" t="s">
        <v>709</v>
      </c>
      <c r="G584" t="s">
        <v>836</v>
      </c>
    </row>
    <row r="585" spans="3:7">
      <c r="C585" t="s">
        <v>249</v>
      </c>
      <c r="D585" t="s">
        <v>250</v>
      </c>
      <c r="E585" t="s">
        <v>251</v>
      </c>
      <c r="F585" t="s">
        <v>709</v>
      </c>
      <c r="G585" t="s">
        <v>837</v>
      </c>
    </row>
    <row r="586" spans="3:7">
      <c r="C586" t="s">
        <v>249</v>
      </c>
      <c r="D586" t="s">
        <v>250</v>
      </c>
      <c r="E586" t="s">
        <v>251</v>
      </c>
      <c r="F586" t="s">
        <v>709</v>
      </c>
      <c r="G586" t="s">
        <v>838</v>
      </c>
    </row>
    <row r="588" spans="3:7">
      <c r="C588" t="s">
        <v>249</v>
      </c>
      <c r="D588" t="s">
        <v>250</v>
      </c>
      <c r="E588" t="s">
        <v>251</v>
      </c>
      <c r="F588" t="s">
        <v>839</v>
      </c>
      <c r="G588" t="s">
        <v>840</v>
      </c>
    </row>
    <row r="589" spans="3:7">
      <c r="C589" t="s">
        <v>249</v>
      </c>
      <c r="D589" t="s">
        <v>250</v>
      </c>
      <c r="E589" t="s">
        <v>251</v>
      </c>
      <c r="F589" t="s">
        <v>839</v>
      </c>
      <c r="G589" t="e">
        <f>_A_A_1.dwg</f>
        <v>#NAME?</v>
      </c>
    </row>
    <row r="590" spans="3:7">
      <c r="C590" t="s">
        <v>249</v>
      </c>
      <c r="D590" t="s">
        <v>250</v>
      </c>
      <c r="E590" t="s">
        <v>251</v>
      </c>
      <c r="F590" t="s">
        <v>839</v>
      </c>
      <c r="G590" t="e">
        <f>_A_B_1.dwg</f>
        <v>#NAME?</v>
      </c>
    </row>
    <row r="591" spans="3:7">
      <c r="C591" t="s">
        <v>249</v>
      </c>
      <c r="D591" t="s">
        <v>250</v>
      </c>
      <c r="E591" t="s">
        <v>251</v>
      </c>
      <c r="F591" t="s">
        <v>839</v>
      </c>
      <c r="G591" t="e">
        <f>_S_B_1.dwg</f>
        <v>#NAME?</v>
      </c>
    </row>
    <row r="592" spans="3:7">
      <c r="C592" t="s">
        <v>249</v>
      </c>
      <c r="D592" t="s">
        <v>250</v>
      </c>
      <c r="E592" t="s">
        <v>251</v>
      </c>
      <c r="F592" t="s">
        <v>839</v>
      </c>
      <c r="G592" t="e">
        <f>_S_B_2.dwg</f>
        <v>#NAME?</v>
      </c>
    </row>
    <row r="593" spans="3:7">
      <c r="C593" t="s">
        <v>249</v>
      </c>
      <c r="D593" t="s">
        <v>250</v>
      </c>
      <c r="E593" t="s">
        <v>251</v>
      </c>
      <c r="F593" t="s">
        <v>839</v>
      </c>
      <c r="G593" t="e">
        <f>_S_B_3.dwg</f>
        <v>#NAME?</v>
      </c>
    </row>
    <row r="594" spans="3:7">
      <c r="C594" t="s">
        <v>249</v>
      </c>
      <c r="D594" t="s">
        <v>250</v>
      </c>
      <c r="E594" t="s">
        <v>251</v>
      </c>
      <c r="F594" t="s">
        <v>839</v>
      </c>
      <c r="G594" t="e">
        <f>_S_B_4.dwg</f>
        <v>#NAME?</v>
      </c>
    </row>
    <row r="595" spans="3:7">
      <c r="C595" t="s">
        <v>249</v>
      </c>
      <c r="D595" t="s">
        <v>250</v>
      </c>
      <c r="E595" t="s">
        <v>251</v>
      </c>
      <c r="F595" t="s">
        <v>839</v>
      </c>
      <c r="G595" t="e">
        <f>_S_B_5.dwg</f>
        <v>#NAME?</v>
      </c>
    </row>
    <row r="596" spans="3:7">
      <c r="C596" t="s">
        <v>249</v>
      </c>
      <c r="D596" t="s">
        <v>250</v>
      </c>
      <c r="E596" t="s">
        <v>251</v>
      </c>
      <c r="F596" t="s">
        <v>839</v>
      </c>
      <c r="G596" t="e">
        <f>_S_B_6.dwg</f>
        <v>#NAME?</v>
      </c>
    </row>
    <row r="597" spans="3:7">
      <c r="C597" s="44" t="s">
        <v>249</v>
      </c>
      <c r="D597" s="44" t="s">
        <v>250</v>
      </c>
      <c r="E597" t="s">
        <v>251</v>
      </c>
      <c r="F597" t="s">
        <v>839</v>
      </c>
      <c r="G597" t="e">
        <f>_S_B_7.dwg</f>
        <v>#NAME?</v>
      </c>
    </row>
    <row r="598" spans="3:7">
      <c r="C598" t="s">
        <v>249</v>
      </c>
      <c r="D598" t="s">
        <v>250</v>
      </c>
      <c r="E598" t="s">
        <v>251</v>
      </c>
      <c r="F598" t="s">
        <v>839</v>
      </c>
      <c r="G598" t="e">
        <f>_S_B_8.dwg</f>
        <v>#NAME?</v>
      </c>
    </row>
    <row r="599" spans="3:7">
      <c r="C599" t="s">
        <v>249</v>
      </c>
      <c r="D599" t="s">
        <v>250</v>
      </c>
      <c r="E599" t="s">
        <v>251</v>
      </c>
      <c r="F599" t="s">
        <v>839</v>
      </c>
      <c r="G599" t="e">
        <f>_S_B_9.dwg</f>
        <v>#NAME?</v>
      </c>
    </row>
    <row r="600" spans="3:7">
      <c r="C600" t="s">
        <v>249</v>
      </c>
      <c r="D600" t="s">
        <v>250</v>
      </c>
      <c r="E600" t="s">
        <v>251</v>
      </c>
      <c r="F600" t="s">
        <v>839</v>
      </c>
      <c r="G600" t="e">
        <f>_S_B_10.dwg</f>
        <v>#NAME?</v>
      </c>
    </row>
    <row r="602" spans="3:7">
      <c r="C602" t="s">
        <v>249</v>
      </c>
      <c r="D602" t="s">
        <v>250</v>
      </c>
      <c r="E602" t="s">
        <v>251</v>
      </c>
      <c r="F602" t="s">
        <v>841</v>
      </c>
      <c r="G602" t="s">
        <v>842</v>
      </c>
    </row>
    <row r="603" spans="3:7">
      <c r="C603" t="s">
        <v>249</v>
      </c>
      <c r="D603" t="s">
        <v>250</v>
      </c>
      <c r="E603" t="s">
        <v>251</v>
      </c>
      <c r="F603" t="s">
        <v>841</v>
      </c>
      <c r="G603" t="e">
        <f>_A_A_1.dwg</f>
        <v>#NAME?</v>
      </c>
    </row>
    <row r="604" spans="3:7">
      <c r="C604" t="s">
        <v>249</v>
      </c>
      <c r="D604" t="s">
        <v>250</v>
      </c>
      <c r="E604" t="s">
        <v>251</v>
      </c>
      <c r="F604" t="s">
        <v>841</v>
      </c>
      <c r="G604" t="e">
        <f>_A_B_1.dwg</f>
        <v>#NAME?</v>
      </c>
    </row>
    <row r="605" spans="3:7">
      <c r="C605" t="s">
        <v>249</v>
      </c>
      <c r="D605" t="s">
        <v>250</v>
      </c>
      <c r="E605" t="s">
        <v>251</v>
      </c>
      <c r="F605" t="s">
        <v>841</v>
      </c>
      <c r="G605" t="e">
        <f>_S_B_1.dwg</f>
        <v>#NAME?</v>
      </c>
    </row>
    <row r="606" spans="3:7">
      <c r="C606" t="s">
        <v>249</v>
      </c>
      <c r="D606" t="s">
        <v>250</v>
      </c>
      <c r="E606" t="s">
        <v>251</v>
      </c>
      <c r="F606" t="s">
        <v>841</v>
      </c>
      <c r="G606" t="e">
        <f>_S_B_2.dwg</f>
        <v>#NAME?</v>
      </c>
    </row>
    <row r="607" spans="3:7">
      <c r="C607" t="s">
        <v>249</v>
      </c>
      <c r="D607" t="s">
        <v>250</v>
      </c>
      <c r="E607" t="s">
        <v>251</v>
      </c>
      <c r="F607" t="s">
        <v>841</v>
      </c>
      <c r="G607" t="e">
        <f>_S_B_3.dwg</f>
        <v>#NAME?</v>
      </c>
    </row>
    <row r="608" spans="3:7">
      <c r="C608" t="s">
        <v>249</v>
      </c>
      <c r="D608" t="s">
        <v>250</v>
      </c>
      <c r="E608" t="s">
        <v>251</v>
      </c>
      <c r="F608" t="s">
        <v>841</v>
      </c>
      <c r="G608" t="e">
        <f>_S_B_4.dwg</f>
        <v>#NAME?</v>
      </c>
    </row>
    <row r="609" spans="3:7">
      <c r="C609" t="s">
        <v>249</v>
      </c>
      <c r="D609" t="s">
        <v>250</v>
      </c>
      <c r="E609" t="s">
        <v>251</v>
      </c>
      <c r="F609" t="s">
        <v>841</v>
      </c>
      <c r="G609" t="e">
        <f>_S_B_5.dwg</f>
        <v>#NAME?</v>
      </c>
    </row>
    <row r="611" spans="3:7">
      <c r="C611" t="s">
        <v>249</v>
      </c>
      <c r="D611" t="s">
        <v>250</v>
      </c>
      <c r="E611" t="s">
        <v>251</v>
      </c>
      <c r="F611" t="s">
        <v>843</v>
      </c>
      <c r="G611" t="s">
        <v>844</v>
      </c>
    </row>
    <row r="612" spans="3:7">
      <c r="C612" t="s">
        <v>249</v>
      </c>
      <c r="D612" t="s">
        <v>250</v>
      </c>
      <c r="E612" t="s">
        <v>251</v>
      </c>
      <c r="F612" t="s">
        <v>843</v>
      </c>
      <c r="G612" t="e">
        <f>_A_A_1.dwg</f>
        <v>#NAME?</v>
      </c>
    </row>
    <row r="613" spans="3:7">
      <c r="C613" t="s">
        <v>249</v>
      </c>
      <c r="D613" t="s">
        <v>250</v>
      </c>
      <c r="E613" t="s">
        <v>251</v>
      </c>
      <c r="F613" t="s">
        <v>843</v>
      </c>
      <c r="G613" t="e">
        <f>_A_B_1.dwg</f>
        <v>#NAME?</v>
      </c>
    </row>
    <row r="614" spans="3:7">
      <c r="C614" t="s">
        <v>249</v>
      </c>
      <c r="D614" t="s">
        <v>250</v>
      </c>
      <c r="E614" t="s">
        <v>251</v>
      </c>
      <c r="F614" t="s">
        <v>843</v>
      </c>
      <c r="G614" t="e">
        <f>_S_B_1.dwg</f>
        <v>#NAME?</v>
      </c>
    </row>
    <row r="615" spans="3:7">
      <c r="C615" t="s">
        <v>249</v>
      </c>
      <c r="D615" t="s">
        <v>250</v>
      </c>
      <c r="E615" t="s">
        <v>251</v>
      </c>
      <c r="F615" t="s">
        <v>843</v>
      </c>
      <c r="G615" t="e">
        <f>_S_B_2.dwg</f>
        <v>#NAME?</v>
      </c>
    </row>
    <row r="616" spans="3:7">
      <c r="C616" t="s">
        <v>249</v>
      </c>
      <c r="D616" t="s">
        <v>250</v>
      </c>
      <c r="E616" t="s">
        <v>251</v>
      </c>
      <c r="F616" t="s">
        <v>843</v>
      </c>
      <c r="G616" t="e">
        <f>_S_B_3.dwg</f>
        <v>#NAME?</v>
      </c>
    </row>
    <row r="617" spans="3:7">
      <c r="C617" t="s">
        <v>249</v>
      </c>
      <c r="D617" t="s">
        <v>250</v>
      </c>
      <c r="E617" t="s">
        <v>251</v>
      </c>
      <c r="F617" t="s">
        <v>843</v>
      </c>
      <c r="G617" t="e">
        <f>_S_B_4.dwg</f>
        <v>#NAME?</v>
      </c>
    </row>
    <row r="618" spans="3:7">
      <c r="C618" t="s">
        <v>249</v>
      </c>
      <c r="D618" t="s">
        <v>250</v>
      </c>
      <c r="E618" t="s">
        <v>251</v>
      </c>
      <c r="F618" t="s">
        <v>843</v>
      </c>
      <c r="G618" t="e">
        <f>_S_B_5.dwg</f>
        <v>#NAME?</v>
      </c>
    </row>
    <row r="619" spans="3:7">
      <c r="C619" t="s">
        <v>249</v>
      </c>
      <c r="D619" t="s">
        <v>250</v>
      </c>
      <c r="E619" t="s">
        <v>251</v>
      </c>
      <c r="F619" t="s">
        <v>843</v>
      </c>
      <c r="G619" t="e">
        <f>_S_B_6.dwg</f>
        <v>#NAME?</v>
      </c>
    </row>
    <row r="620" spans="3:7">
      <c r="C620" t="s">
        <v>249</v>
      </c>
      <c r="D620" t="s">
        <v>250</v>
      </c>
      <c r="E620" t="s">
        <v>251</v>
      </c>
      <c r="F620" t="s">
        <v>843</v>
      </c>
      <c r="G620" t="e">
        <f>_S_B_7.dwg</f>
        <v>#NAME?</v>
      </c>
    </row>
    <row r="622" spans="3:7">
      <c r="C622" t="s">
        <v>249</v>
      </c>
      <c r="D622" t="s">
        <v>250</v>
      </c>
      <c r="E622" t="s">
        <v>251</v>
      </c>
      <c r="F622" t="s">
        <v>845</v>
      </c>
      <c r="G622" t="s">
        <v>846</v>
      </c>
    </row>
    <row r="623" spans="3:7">
      <c r="C623" t="s">
        <v>249</v>
      </c>
      <c r="D623" t="s">
        <v>250</v>
      </c>
      <c r="E623" t="s">
        <v>251</v>
      </c>
      <c r="F623" t="s">
        <v>845</v>
      </c>
      <c r="G623" t="e">
        <f>_A_A_1.dwg</f>
        <v>#NAME?</v>
      </c>
    </row>
    <row r="624" spans="3:7">
      <c r="C624" t="s">
        <v>249</v>
      </c>
      <c r="D624" t="s">
        <v>250</v>
      </c>
      <c r="E624" t="s">
        <v>251</v>
      </c>
      <c r="F624" t="s">
        <v>845</v>
      </c>
      <c r="G624" t="e">
        <f>_A_B_1.dwg</f>
        <v>#NAME?</v>
      </c>
    </row>
    <row r="625" spans="3:7">
      <c r="C625" t="s">
        <v>249</v>
      </c>
      <c r="D625" t="s">
        <v>250</v>
      </c>
      <c r="E625" t="s">
        <v>251</v>
      </c>
      <c r="F625" t="s">
        <v>845</v>
      </c>
      <c r="G625" t="e">
        <f>_S_B_1.dwg</f>
        <v>#NAME?</v>
      </c>
    </row>
    <row r="626" spans="3:7">
      <c r="C626" t="s">
        <v>249</v>
      </c>
      <c r="D626" t="s">
        <v>250</v>
      </c>
      <c r="E626" t="s">
        <v>251</v>
      </c>
      <c r="F626" t="s">
        <v>845</v>
      </c>
      <c r="G626" t="e">
        <f>_S_B_2.dwg</f>
        <v>#NAME?</v>
      </c>
    </row>
    <row r="627" spans="3:7">
      <c r="C627" t="s">
        <v>249</v>
      </c>
      <c r="D627" t="s">
        <v>250</v>
      </c>
      <c r="E627" t="s">
        <v>251</v>
      </c>
      <c r="F627" t="s">
        <v>845</v>
      </c>
      <c r="G627" t="e">
        <f>_S_B_3.dwg</f>
        <v>#NAME?</v>
      </c>
    </row>
    <row r="628" spans="3:7">
      <c r="C628" t="s">
        <v>249</v>
      </c>
      <c r="D628" t="s">
        <v>250</v>
      </c>
      <c r="E628" t="s">
        <v>251</v>
      </c>
      <c r="F628" t="s">
        <v>845</v>
      </c>
      <c r="G628" t="e">
        <f>_S_B_4.dwg</f>
        <v>#NAME?</v>
      </c>
    </row>
    <row r="629" spans="3:7">
      <c r="C629" t="s">
        <v>249</v>
      </c>
      <c r="D629" t="s">
        <v>250</v>
      </c>
      <c r="E629" t="s">
        <v>251</v>
      </c>
      <c r="F629" t="s">
        <v>845</v>
      </c>
      <c r="G629" t="e">
        <f>_S_B_5.dwg</f>
        <v>#NAME?</v>
      </c>
    </row>
    <row r="631" spans="3:7">
      <c r="C631" t="s">
        <v>249</v>
      </c>
      <c r="D631" t="s">
        <v>250</v>
      </c>
      <c r="E631" t="s">
        <v>251</v>
      </c>
      <c r="F631" t="s">
        <v>847</v>
      </c>
    </row>
    <row r="632" spans="3:7">
      <c r="C632" t="s">
        <v>249</v>
      </c>
      <c r="D632" t="s">
        <v>250</v>
      </c>
      <c r="E632" t="s">
        <v>251</v>
      </c>
      <c r="F632" t="s">
        <v>848</v>
      </c>
    </row>
    <row r="633" spans="3:7">
      <c r="C633" t="s">
        <v>249</v>
      </c>
      <c r="D633" t="s">
        <v>250</v>
      </c>
      <c r="E633" t="s">
        <v>251</v>
      </c>
      <c r="F633" t="s">
        <v>849</v>
      </c>
    </row>
    <row r="634" spans="3:7">
      <c r="C634" t="s">
        <v>249</v>
      </c>
      <c r="D634" t="s">
        <v>250</v>
      </c>
      <c r="E634" t="s">
        <v>251</v>
      </c>
      <c r="F634" t="s">
        <v>850</v>
      </c>
    </row>
    <row r="635" spans="3:7">
      <c r="C635" t="s">
        <v>249</v>
      </c>
      <c r="D635" t="s">
        <v>250</v>
      </c>
      <c r="E635" t="s">
        <v>251</v>
      </c>
      <c r="F635" t="s">
        <v>851</v>
      </c>
    </row>
    <row r="636" spans="3:7">
      <c r="C636" t="s">
        <v>249</v>
      </c>
      <c r="D636" t="s">
        <v>250</v>
      </c>
      <c r="E636" t="s">
        <v>251</v>
      </c>
      <c r="F636" t="s">
        <v>852</v>
      </c>
    </row>
    <row r="637" spans="3:7">
      <c r="C637" t="s">
        <v>249</v>
      </c>
      <c r="D637" t="s">
        <v>250</v>
      </c>
      <c r="E637" t="s">
        <v>251</v>
      </c>
      <c r="F637" t="s">
        <v>853</v>
      </c>
    </row>
    <row r="638" spans="3:7">
      <c r="C638" t="s">
        <v>249</v>
      </c>
      <c r="D638" t="s">
        <v>250</v>
      </c>
      <c r="E638" t="s">
        <v>251</v>
      </c>
      <c r="F638" t="s">
        <v>854</v>
      </c>
    </row>
    <row r="639" spans="3:7">
      <c r="C639" t="s">
        <v>249</v>
      </c>
      <c r="D639" t="s">
        <v>250</v>
      </c>
      <c r="E639" t="s">
        <v>251</v>
      </c>
      <c r="F639" t="s">
        <v>855</v>
      </c>
    </row>
    <row r="640" spans="3:7">
      <c r="C640" t="s">
        <v>249</v>
      </c>
      <c r="D640" t="s">
        <v>250</v>
      </c>
      <c r="E640" t="s">
        <v>251</v>
      </c>
      <c r="F640" t="s">
        <v>856</v>
      </c>
    </row>
    <row r="641" spans="3:6">
      <c r="C641" t="s">
        <v>249</v>
      </c>
      <c r="D641" t="s">
        <v>250</v>
      </c>
      <c r="E641" t="s">
        <v>251</v>
      </c>
      <c r="F641" t="s">
        <v>857</v>
      </c>
    </row>
    <row r="642" spans="3:6">
      <c r="C642" t="s">
        <v>249</v>
      </c>
      <c r="D642" t="s">
        <v>250</v>
      </c>
      <c r="E642" t="s">
        <v>251</v>
      </c>
      <c r="F642" t="s">
        <v>858</v>
      </c>
    </row>
    <row r="643" spans="3:6">
      <c r="C643" t="s">
        <v>249</v>
      </c>
      <c r="D643" t="s">
        <v>250</v>
      </c>
      <c r="E643" t="s">
        <v>251</v>
      </c>
      <c r="F643" t="s">
        <v>859</v>
      </c>
    </row>
    <row r="644" spans="3:6">
      <c r="C644" t="s">
        <v>249</v>
      </c>
      <c r="D644" t="s">
        <v>250</v>
      </c>
      <c r="E644" t="s">
        <v>251</v>
      </c>
      <c r="F644" t="s">
        <v>860</v>
      </c>
    </row>
    <row r="645" spans="3:6">
      <c r="C645" t="s">
        <v>249</v>
      </c>
      <c r="D645" t="s">
        <v>250</v>
      </c>
      <c r="E645" t="s">
        <v>251</v>
      </c>
      <c r="F645" t="s">
        <v>861</v>
      </c>
    </row>
    <row r="646" spans="3:6">
      <c r="C646" t="s">
        <v>249</v>
      </c>
      <c r="D646" t="s">
        <v>250</v>
      </c>
      <c r="E646" t="s">
        <v>251</v>
      </c>
      <c r="F646" t="s">
        <v>862</v>
      </c>
    </row>
    <row r="647" spans="3:6">
      <c r="C647" t="s">
        <v>249</v>
      </c>
      <c r="D647" t="s">
        <v>250</v>
      </c>
      <c r="E647" t="s">
        <v>251</v>
      </c>
      <c r="F647" t="s">
        <v>863</v>
      </c>
    </row>
    <row r="648" spans="3:6">
      <c r="C648" t="s">
        <v>249</v>
      </c>
      <c r="D648" t="s">
        <v>250</v>
      </c>
      <c r="E648" t="s">
        <v>251</v>
      </c>
      <c r="F648" t="s">
        <v>864</v>
      </c>
    </row>
    <row r="649" spans="3:6">
      <c r="C649" t="s">
        <v>249</v>
      </c>
      <c r="D649" t="s">
        <v>250</v>
      </c>
      <c r="E649" t="s">
        <v>251</v>
      </c>
      <c r="F649" t="s">
        <v>865</v>
      </c>
    </row>
    <row r="650" spans="3:6">
      <c r="C650" t="s">
        <v>249</v>
      </c>
      <c r="D650" t="s">
        <v>250</v>
      </c>
      <c r="E650" t="s">
        <v>251</v>
      </c>
      <c r="F650" t="s">
        <v>866</v>
      </c>
    </row>
  </sheetData>
  <hyperlinks>
    <hyperlink ref="C597" r:id="rId1" display="\\DE-PROD.DK\Corp\Data\EE-Data\MIADR\HOW01\OSS\Electrical Equipment\Siemens\HV Switchgear (GIS) 220kV\Z11\Final\02 Secondary Equipment\02_01\=_S_B_7.dwg" xr:uid="{50922F9D-1AF0-4ABD-971D-816D17C19952}"/>
    <hyperlink ref="D597" r:id="rId2" display="\\DE-PROD.DK\Corp\Data\EE-Data\MIADR\HOW01\OSS\Electrical Equipment\Siemens\HV Switchgear (GIS) 220kV\Z11\Final\02 Secondary Equipment\02_01\=_S_B_7.dwg" xr:uid="{26ABD921-949E-4322-9731-B0418125301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Drawing List</vt:lpstr>
      <vt:lpstr>Sheet1</vt:lpstr>
      <vt:lpstr>Order</vt:lpstr>
      <vt:lpstr>Picklists</vt:lpstr>
      <vt:lpstr>Sheet2</vt:lpstr>
      <vt:lpstr>AllowUseReservation</vt:lpstr>
      <vt:lpstr>DocStatus</vt:lpstr>
      <vt:lpstr>FieldHeader</vt:lpstr>
      <vt:lpstr>Filetype</vt:lpstr>
      <vt:lpstr>LocType</vt:lpstr>
      <vt:lpstr>O_M</vt:lpstr>
      <vt:lpstr>Phase</vt:lpstr>
      <vt:lpstr>'Drawing List'!Print_Area</vt:lpstr>
      <vt:lpstr>Order!Print_Titles</vt:lpstr>
      <vt:lpstr>Top_Common</vt:lpstr>
      <vt:lpstr>Top_DwgList</vt:lpstr>
    </vt:vector>
  </TitlesOfParts>
  <Company>Elsam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Martha Petersen</dc:creator>
  <cp:lastModifiedBy>Kirsten Hald Sørensen</cp:lastModifiedBy>
  <cp:lastPrinted>2010-09-29T07:44:20Z</cp:lastPrinted>
  <dcterms:created xsi:type="dcterms:W3CDTF">2005-12-07T09:01:37Z</dcterms:created>
  <dcterms:modified xsi:type="dcterms:W3CDTF">2019-02-07T05:21:12Z</dcterms:modified>
</cp:coreProperties>
</file>